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nmmuac-my.sharepoint.com/personal/samukelisiwem_mandela_ac_za/Documents/Documents/3_SCHOLARY/PhD/Data collection/Analysis/01msc_cederberg_CombinedFlamm/JoinedFlamm_Trait/Data/"/>
    </mc:Choice>
  </mc:AlternateContent>
  <xr:revisionPtr revIDLastSave="27" documentId="11_AB7EDB9D4EB34A5077B2D2452963516AA5AB0CCB" xr6:coauthVersionLast="47" xr6:coauthVersionMax="47" xr10:uidLastSave="{1C639D86-013F-4C7D-B7CB-9DE37C0CEDE9}"/>
  <bookViews>
    <workbookView xWindow="20370" yWindow="-120" windowWidth="29040" windowHeight="15720" xr2:uid="{00000000-000D-0000-FFFF-FFFF00000000}"/>
  </bookViews>
  <sheets>
    <sheet name="CapeStFrancis_Hons_Flammability" sheetId="1" r:id="rId1"/>
    <sheet name="BB_%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 a="1"/>
  <c r="L3" i="1" s="1"/>
  <c r="L4" i="1" a="1"/>
  <c r="L4" i="1" s="1"/>
  <c r="L5" i="1" a="1"/>
  <c r="L5" i="1" s="1"/>
  <c r="L6" i="1" a="1"/>
  <c r="L6" i="1"/>
  <c r="L7" i="1" a="1"/>
  <c r="L7" i="1" s="1"/>
  <c r="L8" i="1" a="1"/>
  <c r="L8" i="1" s="1"/>
  <c r="L9" i="1" a="1"/>
  <c r="L9" i="1" s="1"/>
  <c r="L10" i="1" a="1"/>
  <c r="L10" i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/>
  <c r="L19" i="1" a="1"/>
  <c r="L19" i="1" s="1"/>
  <c r="L20" i="1" a="1"/>
  <c r="L20" i="1" s="1"/>
  <c r="L21" i="1" a="1"/>
  <c r="L21" i="1" s="1"/>
  <c r="L22" i="1" a="1"/>
  <c r="L22" i="1"/>
  <c r="L23" i="1" a="1"/>
  <c r="L23" i="1" s="1"/>
  <c r="L24" i="1" a="1"/>
  <c r="L24" i="1" s="1"/>
  <c r="L25" i="1" a="1"/>
  <c r="L25" i="1" s="1"/>
  <c r="L26" i="1" a="1"/>
  <c r="L26" i="1"/>
  <c r="L27" i="1" a="1"/>
  <c r="L27" i="1" s="1"/>
  <c r="L28" i="1" a="1"/>
  <c r="L28" i="1" s="1"/>
  <c r="L29" i="1" a="1"/>
  <c r="L29" i="1" s="1"/>
  <c r="L30" i="1" a="1"/>
  <c r="L30" i="1"/>
  <c r="L31" i="1" a="1"/>
  <c r="L31" i="1" s="1"/>
  <c r="L32" i="1" a="1"/>
  <c r="L32" i="1" s="1"/>
  <c r="L33" i="1" a="1"/>
  <c r="L33" i="1" s="1"/>
  <c r="L34" i="1" a="1"/>
  <c r="L34" i="1"/>
  <c r="L35" i="1" a="1"/>
  <c r="L35" i="1" s="1"/>
  <c r="L36" i="1" a="1"/>
  <c r="L36" i="1" s="1"/>
  <c r="L37" i="1" a="1"/>
  <c r="L37" i="1" s="1"/>
  <c r="L38" i="1" a="1"/>
  <c r="L38" i="1"/>
  <c r="L39" i="1" a="1"/>
  <c r="L39" i="1" s="1"/>
  <c r="L40" i="1" a="1"/>
  <c r="L40" i="1" s="1"/>
  <c r="L41" i="1" a="1"/>
  <c r="L41" i="1" s="1"/>
  <c r="L42" i="1" a="1"/>
  <c r="L42" i="1"/>
  <c r="L43" i="1" a="1"/>
  <c r="L43" i="1" s="1"/>
  <c r="L44" i="1" a="1"/>
  <c r="L44" i="1" s="1"/>
  <c r="L45" i="1" a="1"/>
  <c r="L45" i="1" s="1"/>
  <c r="L46" i="1" a="1"/>
  <c r="L46" i="1"/>
  <c r="L47" i="1" a="1"/>
  <c r="L47" i="1" s="1"/>
  <c r="L48" i="1" a="1"/>
  <c r="L48" i="1" s="1"/>
  <c r="L49" i="1" a="1"/>
  <c r="L49" i="1" s="1"/>
  <c r="L50" i="1" a="1"/>
  <c r="L50" i="1"/>
  <c r="L51" i="1" a="1"/>
  <c r="L51" i="1" s="1"/>
  <c r="L52" i="1" a="1"/>
  <c r="L52" i="1" s="1"/>
  <c r="L53" i="1" a="1"/>
  <c r="L53" i="1" s="1"/>
  <c r="L54" i="1" a="1"/>
  <c r="L54" i="1"/>
  <c r="L55" i="1" a="1"/>
  <c r="L55" i="1" s="1"/>
  <c r="L56" i="1" a="1"/>
  <c r="L56" i="1" s="1"/>
  <c r="L57" i="1" a="1"/>
  <c r="L57" i="1" s="1"/>
  <c r="L58" i="1" a="1"/>
  <c r="L58" i="1"/>
  <c r="L59" i="1" a="1"/>
  <c r="L59" i="1" s="1"/>
  <c r="L60" i="1" a="1"/>
  <c r="L60" i="1" s="1"/>
  <c r="L61" i="1" a="1"/>
  <c r="L61" i="1" s="1"/>
  <c r="L62" i="1" a="1"/>
  <c r="L62" i="1"/>
  <c r="L63" i="1" a="1"/>
  <c r="L63" i="1" s="1"/>
  <c r="L64" i="1" a="1"/>
  <c r="L64" i="1" s="1"/>
  <c r="L65" i="1" a="1"/>
  <c r="L65" i="1" s="1"/>
  <c r="L66" i="1" a="1"/>
  <c r="L66" i="1"/>
  <c r="L67" i="1" a="1"/>
  <c r="L67" i="1" s="1"/>
  <c r="L68" i="1" a="1"/>
  <c r="L68" i="1" s="1"/>
  <c r="L69" i="1" a="1"/>
  <c r="L69" i="1" s="1"/>
  <c r="L70" i="1" a="1"/>
  <c r="L70" i="1"/>
  <c r="L71" i="1" a="1"/>
  <c r="L71" i="1" s="1"/>
  <c r="L72" i="1" a="1"/>
  <c r="L72" i="1" s="1"/>
  <c r="L73" i="1" a="1"/>
  <c r="L73" i="1" s="1"/>
  <c r="L74" i="1" a="1"/>
  <c r="L74" i="1"/>
  <c r="L75" i="1" a="1"/>
  <c r="L75" i="1" s="1"/>
  <c r="L76" i="1" a="1"/>
  <c r="L76" i="1" s="1"/>
  <c r="L77" i="1" a="1"/>
  <c r="L77" i="1" s="1"/>
  <c r="L78" i="1" a="1"/>
  <c r="L78" i="1"/>
  <c r="L79" i="1" a="1"/>
  <c r="L79" i="1" s="1"/>
  <c r="L2" i="1" a="1"/>
  <c r="L2" i="1" s="1"/>
  <c r="D3" i="2"/>
  <c r="D4" i="2"/>
  <c r="D5" i="2"/>
  <c r="D6" i="2"/>
  <c r="D7" i="2"/>
  <c r="D2" i="2"/>
  <c r="M2" i="1"/>
  <c r="AC2" i="1"/>
  <c r="J3" i="1"/>
  <c r="J4" i="1"/>
  <c r="J20" i="1"/>
  <c r="J21" i="1"/>
  <c r="J22" i="1"/>
  <c r="J11" i="1"/>
  <c r="J12" i="1"/>
  <c r="J13" i="1"/>
  <c r="J29" i="1"/>
  <c r="J30" i="1"/>
  <c r="J31" i="1"/>
  <c r="J14" i="1"/>
  <c r="J15" i="1"/>
  <c r="J16" i="1"/>
  <c r="J26" i="1"/>
  <c r="J27" i="1"/>
  <c r="J28" i="1"/>
  <c r="J5" i="1"/>
  <c r="J6" i="1"/>
  <c r="J7" i="1"/>
  <c r="J17" i="1"/>
  <c r="J18" i="1"/>
  <c r="J19" i="1"/>
  <c r="J8" i="1"/>
  <c r="J9" i="1"/>
  <c r="J10" i="1"/>
  <c r="J23" i="1"/>
  <c r="J24" i="1"/>
  <c r="J25" i="1"/>
  <c r="J68" i="1"/>
  <c r="J69" i="1"/>
  <c r="J70" i="1"/>
  <c r="J59" i="1"/>
  <c r="J60" i="1"/>
  <c r="J61" i="1"/>
  <c r="J74" i="1"/>
  <c r="J75" i="1"/>
  <c r="J76" i="1"/>
  <c r="J62" i="1"/>
  <c r="J63" i="1"/>
  <c r="J64" i="1"/>
  <c r="J53" i="1"/>
  <c r="J54" i="1"/>
  <c r="J55" i="1"/>
  <c r="J56" i="1"/>
  <c r="J57" i="1"/>
  <c r="J47" i="1"/>
  <c r="J50" i="1"/>
  <c r="J51" i="1"/>
  <c r="J52" i="1"/>
  <c r="J71" i="1"/>
  <c r="J72" i="1"/>
  <c r="J73" i="1"/>
  <c r="J77" i="1"/>
  <c r="J78" i="1"/>
  <c r="J79" i="1"/>
  <c r="J65" i="1"/>
  <c r="J66" i="1"/>
  <c r="J67" i="1"/>
  <c r="J41" i="1"/>
  <c r="J42" i="1"/>
  <c r="J32" i="1"/>
  <c r="J33" i="1"/>
  <c r="J34" i="1"/>
  <c r="J38" i="1"/>
  <c r="J39" i="1"/>
  <c r="J40" i="1"/>
  <c r="J35" i="1"/>
  <c r="J36" i="1"/>
  <c r="J2" i="1"/>
  <c r="AC3" i="1"/>
  <c r="AC4" i="1"/>
  <c r="AC20" i="1"/>
  <c r="AC21" i="1"/>
  <c r="AC22" i="1"/>
  <c r="AC11" i="1"/>
  <c r="AC12" i="1"/>
  <c r="AC13" i="1"/>
  <c r="AC29" i="1"/>
  <c r="AC30" i="1"/>
  <c r="AC31" i="1"/>
  <c r="AC14" i="1"/>
  <c r="AC15" i="1"/>
  <c r="AC16" i="1"/>
  <c r="AC26" i="1"/>
  <c r="AC27" i="1"/>
  <c r="AC28" i="1"/>
  <c r="AC5" i="1"/>
  <c r="AC6" i="1"/>
  <c r="AC7" i="1"/>
  <c r="AC17" i="1"/>
  <c r="AC18" i="1"/>
  <c r="AC19" i="1"/>
  <c r="AC8" i="1"/>
  <c r="AC9" i="1"/>
  <c r="AC10" i="1"/>
  <c r="AC23" i="1"/>
  <c r="AC24" i="1"/>
  <c r="AC25" i="1"/>
  <c r="AC68" i="1"/>
  <c r="AC69" i="1"/>
  <c r="AC70" i="1"/>
  <c r="AC59" i="1"/>
  <c r="AC60" i="1"/>
  <c r="AC61" i="1"/>
  <c r="AC74" i="1"/>
  <c r="AC75" i="1"/>
  <c r="AC76" i="1"/>
  <c r="AC62" i="1"/>
  <c r="AC63" i="1"/>
  <c r="AC64" i="1"/>
  <c r="AC53" i="1"/>
  <c r="AC54" i="1"/>
  <c r="AC55" i="1"/>
  <c r="AC56" i="1"/>
  <c r="AC57" i="1"/>
  <c r="AC58" i="1"/>
  <c r="AC47" i="1"/>
  <c r="AC48" i="1"/>
  <c r="AC49" i="1"/>
  <c r="AC50" i="1"/>
  <c r="AC51" i="1"/>
  <c r="AC52" i="1"/>
  <c r="AC71" i="1"/>
  <c r="AC72" i="1"/>
  <c r="AC73" i="1"/>
  <c r="AC77" i="1"/>
  <c r="AC78" i="1"/>
  <c r="AC79" i="1"/>
  <c r="AC65" i="1"/>
  <c r="AC66" i="1"/>
  <c r="AC67" i="1"/>
  <c r="AC41" i="1"/>
  <c r="AC42" i="1"/>
  <c r="AC43" i="1"/>
  <c r="AC32" i="1"/>
  <c r="AC33" i="1"/>
  <c r="AC34" i="1"/>
  <c r="AC44" i="1"/>
  <c r="AC45" i="1"/>
  <c r="AC46" i="1"/>
  <c r="AC38" i="1"/>
  <c r="AC39" i="1"/>
  <c r="AC40" i="1"/>
  <c r="T3" i="1"/>
  <c r="U3" i="1" s="1"/>
  <c r="T4" i="1"/>
  <c r="U4" i="1" s="1"/>
  <c r="T20" i="1"/>
  <c r="W20" i="1" s="1"/>
  <c r="T21" i="1"/>
  <c r="W21" i="1" s="1"/>
  <c r="T22" i="1"/>
  <c r="V22" i="1" s="1"/>
  <c r="T11" i="1"/>
  <c r="V11" i="1" s="1"/>
  <c r="T12" i="1"/>
  <c r="T13" i="1"/>
  <c r="U13" i="1" s="1"/>
  <c r="T29" i="1"/>
  <c r="U29" i="1" s="1"/>
  <c r="T30" i="1"/>
  <c r="T31" i="1"/>
  <c r="W31" i="1" s="1"/>
  <c r="T14" i="1"/>
  <c r="W14" i="1" s="1"/>
  <c r="T15" i="1"/>
  <c r="V15" i="1" s="1"/>
  <c r="T16" i="1"/>
  <c r="V16" i="1" s="1"/>
  <c r="T26" i="1"/>
  <c r="T27" i="1"/>
  <c r="U27" i="1" s="1"/>
  <c r="T28" i="1"/>
  <c r="U28" i="1" s="1"/>
  <c r="T5" i="1"/>
  <c r="U5" i="1" s="1"/>
  <c r="T6" i="1"/>
  <c r="W6" i="1" s="1"/>
  <c r="T7" i="1"/>
  <c r="W7" i="1" s="1"/>
  <c r="T17" i="1"/>
  <c r="V17" i="1" s="1"/>
  <c r="T18" i="1"/>
  <c r="V18" i="1" s="1"/>
  <c r="T19" i="1"/>
  <c r="T8" i="1"/>
  <c r="U8" i="1" s="1"/>
  <c r="T9" i="1"/>
  <c r="U9" i="1" s="1"/>
  <c r="T10" i="1"/>
  <c r="T23" i="1"/>
  <c r="W23" i="1" s="1"/>
  <c r="T24" i="1"/>
  <c r="W24" i="1" s="1"/>
  <c r="T25" i="1"/>
  <c r="V25" i="1" s="1"/>
  <c r="T68" i="1"/>
  <c r="V68" i="1" s="1"/>
  <c r="T69" i="1"/>
  <c r="T70" i="1"/>
  <c r="U70" i="1" s="1"/>
  <c r="T59" i="1"/>
  <c r="U59" i="1" s="1"/>
  <c r="T60" i="1"/>
  <c r="U60" i="1" s="1"/>
  <c r="T61" i="1"/>
  <c r="W61" i="1" s="1"/>
  <c r="T74" i="1"/>
  <c r="W74" i="1" s="1"/>
  <c r="T75" i="1"/>
  <c r="V75" i="1" s="1"/>
  <c r="T76" i="1"/>
  <c r="V76" i="1" s="1"/>
  <c r="T62" i="1"/>
  <c r="T63" i="1"/>
  <c r="U63" i="1" s="1"/>
  <c r="T64" i="1"/>
  <c r="U64" i="1" s="1"/>
  <c r="T53" i="1"/>
  <c r="T54" i="1"/>
  <c r="W54" i="1" s="1"/>
  <c r="T55" i="1"/>
  <c r="W55" i="1" s="1"/>
  <c r="T56" i="1"/>
  <c r="V56" i="1" s="1"/>
  <c r="T57" i="1"/>
  <c r="V57" i="1" s="1"/>
  <c r="T58" i="1"/>
  <c r="T47" i="1"/>
  <c r="U47" i="1" s="1"/>
  <c r="T48" i="1"/>
  <c r="U48" i="1" s="1"/>
  <c r="T49" i="1"/>
  <c r="U49" i="1" s="1"/>
  <c r="T50" i="1"/>
  <c r="W50" i="1" s="1"/>
  <c r="T51" i="1"/>
  <c r="W51" i="1" s="1"/>
  <c r="T52" i="1"/>
  <c r="V52" i="1" s="1"/>
  <c r="T71" i="1"/>
  <c r="V71" i="1" s="1"/>
  <c r="T72" i="1"/>
  <c r="T73" i="1"/>
  <c r="U73" i="1" s="1"/>
  <c r="T77" i="1"/>
  <c r="U77" i="1" s="1"/>
  <c r="T78" i="1"/>
  <c r="T79" i="1"/>
  <c r="W79" i="1" s="1"/>
  <c r="T65" i="1"/>
  <c r="W65" i="1" s="1"/>
  <c r="T66" i="1"/>
  <c r="V66" i="1" s="1"/>
  <c r="T67" i="1"/>
  <c r="V67" i="1" s="1"/>
  <c r="T41" i="1"/>
  <c r="T42" i="1"/>
  <c r="U42" i="1" s="1"/>
  <c r="T43" i="1"/>
  <c r="U43" i="1" s="1"/>
  <c r="T45" i="1"/>
  <c r="V45" i="1" s="1"/>
  <c r="T38" i="1"/>
  <c r="U38" i="1" s="1"/>
  <c r="T39" i="1"/>
  <c r="U39" i="1" s="1"/>
  <c r="T40" i="1"/>
  <c r="T35" i="1"/>
  <c r="W35" i="1" s="1"/>
  <c r="T36" i="1"/>
  <c r="W36" i="1" s="1"/>
  <c r="T2" i="1"/>
  <c r="Z21" i="1" s="1"/>
  <c r="V74" i="1" l="1"/>
  <c r="W59" i="1"/>
  <c r="U15" i="1"/>
  <c r="V79" i="1"/>
  <c r="V55" i="1"/>
  <c r="V61" i="1"/>
  <c r="W38" i="1"/>
  <c r="U23" i="1"/>
  <c r="U6" i="1"/>
  <c r="W25" i="1"/>
  <c r="W48" i="1"/>
  <c r="U18" i="1"/>
  <c r="V54" i="1"/>
  <c r="W64" i="1"/>
  <c r="U71" i="1"/>
  <c r="U31" i="1"/>
  <c r="V7" i="1"/>
  <c r="W9" i="1"/>
  <c r="U20" i="1"/>
  <c r="V6" i="1"/>
  <c r="W28" i="1"/>
  <c r="U61" i="1"/>
  <c r="V38" i="1"/>
  <c r="V20" i="1"/>
  <c r="W3" i="1"/>
  <c r="W13" i="1"/>
  <c r="M32" i="1"/>
  <c r="V73" i="1"/>
  <c r="W66" i="1"/>
  <c r="U45" i="1"/>
  <c r="U54" i="1"/>
  <c r="U17" i="1"/>
  <c r="V51" i="1"/>
  <c r="V70" i="1"/>
  <c r="V31" i="1"/>
  <c r="W77" i="1"/>
  <c r="W75" i="1"/>
  <c r="W27" i="1"/>
  <c r="M74" i="1"/>
  <c r="M7" i="1"/>
  <c r="M22" i="1"/>
  <c r="Y38" i="1"/>
  <c r="Z66" i="1"/>
  <c r="X50" i="1"/>
  <c r="Z62" i="1"/>
  <c r="Y6" i="1"/>
  <c r="U2" i="1"/>
  <c r="U22" i="1"/>
  <c r="V27" i="1"/>
  <c r="W42" i="1"/>
  <c r="W17" i="1"/>
  <c r="U35" i="1"/>
  <c r="U56" i="1"/>
  <c r="W63" i="1"/>
  <c r="U66" i="1"/>
  <c r="U76" i="1"/>
  <c r="V36" i="1"/>
  <c r="V50" i="1"/>
  <c r="V24" i="1"/>
  <c r="V13" i="1"/>
  <c r="W73" i="1"/>
  <c r="W15" i="1"/>
  <c r="M40" i="1"/>
  <c r="Z46" i="1"/>
  <c r="X66" i="1"/>
  <c r="Y49" i="1"/>
  <c r="X76" i="1"/>
  <c r="Y5" i="1"/>
  <c r="M77" i="1"/>
  <c r="V14" i="1"/>
  <c r="U79" i="1"/>
  <c r="U75" i="1"/>
  <c r="V35" i="1"/>
  <c r="V47" i="1"/>
  <c r="V23" i="1"/>
  <c r="V21" i="1"/>
  <c r="W52" i="1"/>
  <c r="W70" i="1"/>
  <c r="W29" i="1"/>
  <c r="X45" i="1"/>
  <c r="Y79" i="1"/>
  <c r="Z47" i="1"/>
  <c r="X75" i="1"/>
  <c r="Z26" i="1"/>
  <c r="Z44" i="1"/>
  <c r="X79" i="1"/>
  <c r="Y47" i="1"/>
  <c r="Y61" i="1"/>
  <c r="X16" i="1"/>
  <c r="Z37" i="1"/>
  <c r="X33" i="1"/>
  <c r="Y73" i="1"/>
  <c r="Z56" i="1"/>
  <c r="X68" i="1"/>
  <c r="Z13" i="1"/>
  <c r="V8" i="1"/>
  <c r="U52" i="1"/>
  <c r="V42" i="1"/>
  <c r="W47" i="1"/>
  <c r="W22" i="1"/>
  <c r="U50" i="1"/>
  <c r="U25" i="1"/>
  <c r="U11" i="1"/>
  <c r="V65" i="1"/>
  <c r="V63" i="1"/>
  <c r="W43" i="1"/>
  <c r="W56" i="1"/>
  <c r="W8" i="1"/>
  <c r="M33" i="1"/>
  <c r="M78" i="1"/>
  <c r="M47" i="1"/>
  <c r="M62" i="1"/>
  <c r="M69" i="1"/>
  <c r="M65" i="1"/>
  <c r="X37" i="1"/>
  <c r="Y32" i="1"/>
  <c r="Z72" i="1"/>
  <c r="X56" i="1"/>
  <c r="X25" i="1"/>
  <c r="Z12" i="1"/>
  <c r="Y35" i="1"/>
  <c r="Z42" i="1"/>
  <c r="X71" i="1"/>
  <c r="Y54" i="1"/>
  <c r="Y10" i="1"/>
  <c r="X11" i="1"/>
  <c r="X35" i="1"/>
  <c r="Y42" i="1"/>
  <c r="Z52" i="1"/>
  <c r="X54" i="1"/>
  <c r="Z8" i="1"/>
  <c r="X22" i="1"/>
  <c r="U72" i="1"/>
  <c r="V72" i="1"/>
  <c r="W72" i="1"/>
  <c r="U19" i="1"/>
  <c r="V19" i="1"/>
  <c r="W19" i="1"/>
  <c r="M26" i="1"/>
  <c r="M24" i="1"/>
  <c r="M45" i="1"/>
  <c r="M58" i="1"/>
  <c r="M46" i="1"/>
  <c r="M57" i="1"/>
  <c r="M76" i="1"/>
  <c r="M68" i="1"/>
  <c r="M18" i="1"/>
  <c r="M16" i="1"/>
  <c r="M11" i="1"/>
  <c r="M53" i="1"/>
  <c r="M10" i="1"/>
  <c r="M30" i="1"/>
  <c r="V43" i="1"/>
  <c r="V48" i="1"/>
  <c r="V59" i="1"/>
  <c r="V28" i="1"/>
  <c r="V3" i="1"/>
  <c r="W67" i="1"/>
  <c r="W57" i="1"/>
  <c r="W68" i="1"/>
  <c r="W16" i="1"/>
  <c r="M42" i="1"/>
  <c r="M73" i="1"/>
  <c r="M39" i="1"/>
  <c r="M64" i="1"/>
  <c r="M9" i="1"/>
  <c r="M29" i="1"/>
  <c r="Z36" i="1"/>
  <c r="Y46" i="1"/>
  <c r="X32" i="1"/>
  <c r="Z65" i="1"/>
  <c r="Y72" i="1"/>
  <c r="X49" i="1"/>
  <c r="Z55" i="1"/>
  <c r="Z75" i="1"/>
  <c r="Y23" i="1"/>
  <c r="Z27" i="1"/>
  <c r="Y12" i="1"/>
  <c r="W40" i="1"/>
  <c r="V40" i="1"/>
  <c r="U62" i="1"/>
  <c r="V62" i="1"/>
  <c r="W62" i="1"/>
  <c r="U12" i="1"/>
  <c r="V12" i="1"/>
  <c r="W12" i="1"/>
  <c r="M36" i="1"/>
  <c r="M14" i="1"/>
  <c r="M35" i="1"/>
  <c r="M44" i="1"/>
  <c r="M17" i="1"/>
  <c r="U68" i="1"/>
  <c r="W39" i="1"/>
  <c r="M67" i="1"/>
  <c r="M61" i="1"/>
  <c r="M6" i="1"/>
  <c r="M34" i="1"/>
  <c r="M21" i="1"/>
  <c r="W49" i="1"/>
  <c r="V49" i="1"/>
  <c r="W53" i="1"/>
  <c r="V53" i="1"/>
  <c r="W10" i="1"/>
  <c r="V10" i="1"/>
  <c r="W5" i="1"/>
  <c r="V5" i="1"/>
  <c r="W30" i="1"/>
  <c r="V30" i="1"/>
  <c r="W4" i="1"/>
  <c r="V4" i="1"/>
  <c r="M49" i="1"/>
  <c r="M60" i="1"/>
  <c r="M5" i="1"/>
  <c r="M4" i="1"/>
  <c r="Y40" i="1"/>
  <c r="X44" i="1"/>
  <c r="Z41" i="1"/>
  <c r="Y78" i="1"/>
  <c r="X52" i="1"/>
  <c r="Z58" i="1"/>
  <c r="Y53" i="1"/>
  <c r="Y60" i="1"/>
  <c r="Z19" i="1"/>
  <c r="X15" i="1"/>
  <c r="U58" i="1"/>
  <c r="V58" i="1"/>
  <c r="W58" i="1"/>
  <c r="U26" i="1"/>
  <c r="V26" i="1"/>
  <c r="W26" i="1"/>
  <c r="M19" i="1"/>
  <c r="M41" i="1"/>
  <c r="M75" i="1"/>
  <c r="U57" i="1"/>
  <c r="U16" i="1"/>
  <c r="M71" i="1"/>
  <c r="M23" i="1"/>
  <c r="M31" i="1"/>
  <c r="M51" i="1"/>
  <c r="X3" i="1"/>
  <c r="Z20" i="1"/>
  <c r="Y11" i="1"/>
  <c r="X29" i="1"/>
  <c r="Z31" i="1"/>
  <c r="Y16" i="1"/>
  <c r="X28" i="1"/>
  <c r="Z6" i="1"/>
  <c r="Y18" i="1"/>
  <c r="X9" i="1"/>
  <c r="Z23" i="1"/>
  <c r="Y68" i="1"/>
  <c r="X59" i="1"/>
  <c r="Z61" i="1"/>
  <c r="Y76" i="1"/>
  <c r="X64" i="1"/>
  <c r="Z54" i="1"/>
  <c r="Y57" i="1"/>
  <c r="X48" i="1"/>
  <c r="Z50" i="1"/>
  <c r="Y71" i="1"/>
  <c r="X77" i="1"/>
  <c r="Z79" i="1"/>
  <c r="Y67" i="1"/>
  <c r="X43" i="1"/>
  <c r="Z33" i="1"/>
  <c r="Y45" i="1"/>
  <c r="X39" i="1"/>
  <c r="Z35" i="1"/>
  <c r="Y2" i="1"/>
  <c r="Y3" i="1"/>
  <c r="X21" i="1"/>
  <c r="Z11" i="1"/>
  <c r="Y29" i="1"/>
  <c r="X14" i="1"/>
  <c r="Z16" i="1"/>
  <c r="Y28" i="1"/>
  <c r="X7" i="1"/>
  <c r="Z18" i="1"/>
  <c r="Y9" i="1"/>
  <c r="X24" i="1"/>
  <c r="Z68" i="1"/>
  <c r="Y59" i="1"/>
  <c r="X74" i="1"/>
  <c r="Z76" i="1"/>
  <c r="Y64" i="1"/>
  <c r="X55" i="1"/>
  <c r="Z57" i="1"/>
  <c r="Y48" i="1"/>
  <c r="X51" i="1"/>
  <c r="Z71" i="1"/>
  <c r="Y77" i="1"/>
  <c r="X65" i="1"/>
  <c r="Z67" i="1"/>
  <c r="Y43" i="1"/>
  <c r="X34" i="1"/>
  <c r="Z45" i="1"/>
  <c r="Y39" i="1"/>
  <c r="X36" i="1"/>
  <c r="Z2" i="1"/>
  <c r="V2" i="1"/>
  <c r="Z3" i="1"/>
  <c r="Y21" i="1"/>
  <c r="X12" i="1"/>
  <c r="Z29" i="1"/>
  <c r="Y14" i="1"/>
  <c r="X26" i="1"/>
  <c r="Z28" i="1"/>
  <c r="Y7" i="1"/>
  <c r="X19" i="1"/>
  <c r="Z9" i="1"/>
  <c r="Y24" i="1"/>
  <c r="X69" i="1"/>
  <c r="Z59" i="1"/>
  <c r="Y74" i="1"/>
  <c r="X62" i="1"/>
  <c r="Z64" i="1"/>
  <c r="Y55" i="1"/>
  <c r="X58" i="1"/>
  <c r="Z48" i="1"/>
  <c r="Y51" i="1"/>
  <c r="X72" i="1"/>
  <c r="Z77" i="1"/>
  <c r="Y65" i="1"/>
  <c r="X41" i="1"/>
  <c r="Z43" i="1"/>
  <c r="Y34" i="1"/>
  <c r="X46" i="1"/>
  <c r="Z39" i="1"/>
  <c r="Y36" i="1"/>
  <c r="W2" i="1"/>
  <c r="X4" i="1"/>
  <c r="X30" i="1"/>
  <c r="Z14" i="1"/>
  <c r="Y26" i="1"/>
  <c r="X5" i="1"/>
  <c r="Z7" i="1"/>
  <c r="Y19" i="1"/>
  <c r="X10" i="1"/>
  <c r="Z24" i="1"/>
  <c r="Y69" i="1"/>
  <c r="X60" i="1"/>
  <c r="Z74" i="1"/>
  <c r="Y62" i="1"/>
  <c r="X53" i="1"/>
  <c r="Z4" i="1"/>
  <c r="Y22" i="1"/>
  <c r="X13" i="1"/>
  <c r="Z30" i="1"/>
  <c r="Y15" i="1"/>
  <c r="X27" i="1"/>
  <c r="Z5" i="1"/>
  <c r="Y17" i="1"/>
  <c r="X8" i="1"/>
  <c r="Z10" i="1"/>
  <c r="Y25" i="1"/>
  <c r="X70" i="1"/>
  <c r="Z60" i="1"/>
  <c r="Y75" i="1"/>
  <c r="X63" i="1"/>
  <c r="Z53" i="1"/>
  <c r="Y56" i="1"/>
  <c r="X47" i="1"/>
  <c r="Z49" i="1"/>
  <c r="Y52" i="1"/>
  <c r="X73" i="1"/>
  <c r="Z78" i="1"/>
  <c r="Y66" i="1"/>
  <c r="X42" i="1"/>
  <c r="Z32" i="1"/>
  <c r="Y44" i="1"/>
  <c r="X38" i="1"/>
  <c r="Z40" i="1"/>
  <c r="Y37" i="1"/>
  <c r="X20" i="1"/>
  <c r="Z22" i="1"/>
  <c r="Y13" i="1"/>
  <c r="X31" i="1"/>
  <c r="Z15" i="1"/>
  <c r="Y27" i="1"/>
  <c r="X6" i="1"/>
  <c r="Z17" i="1"/>
  <c r="Y8" i="1"/>
  <c r="X23" i="1"/>
  <c r="Z25" i="1"/>
  <c r="Y70" i="1"/>
  <c r="X61" i="1"/>
  <c r="W78" i="1"/>
  <c r="V78" i="1"/>
  <c r="W60" i="1"/>
  <c r="V60" i="1"/>
  <c r="V39" i="1"/>
  <c r="V77" i="1"/>
  <c r="V64" i="1"/>
  <c r="V9" i="1"/>
  <c r="V29" i="1"/>
  <c r="W45" i="1"/>
  <c r="W71" i="1"/>
  <c r="W76" i="1"/>
  <c r="W18" i="1"/>
  <c r="W11" i="1"/>
  <c r="M38" i="1"/>
  <c r="M43" i="1"/>
  <c r="M48" i="1"/>
  <c r="M59" i="1"/>
  <c r="M28" i="1"/>
  <c r="M3" i="1"/>
  <c r="X40" i="1"/>
  <c r="Z34" i="1"/>
  <c r="Y41" i="1"/>
  <c r="X78" i="1"/>
  <c r="Z51" i="1"/>
  <c r="Y58" i="1"/>
  <c r="Z63" i="1"/>
  <c r="Z70" i="1"/>
  <c r="X18" i="1"/>
  <c r="Y31" i="1"/>
  <c r="Y20" i="1"/>
  <c r="U41" i="1"/>
  <c r="V41" i="1"/>
  <c r="W41" i="1"/>
  <c r="U69" i="1"/>
  <c r="V69" i="1"/>
  <c r="W69" i="1"/>
  <c r="M12" i="1"/>
  <c r="M55" i="1"/>
  <c r="M72" i="1"/>
  <c r="M52" i="1"/>
  <c r="U67" i="1"/>
  <c r="M54" i="1"/>
  <c r="M20" i="1"/>
  <c r="U40" i="1"/>
  <c r="U78" i="1"/>
  <c r="U53" i="1"/>
  <c r="U10" i="1"/>
  <c r="U30" i="1"/>
  <c r="M79" i="1"/>
  <c r="M50" i="1"/>
  <c r="M63" i="1"/>
  <c r="M70" i="1"/>
  <c r="M8" i="1"/>
  <c r="M27" i="1"/>
  <c r="M13" i="1"/>
  <c r="M37" i="1"/>
  <c r="M66" i="1"/>
  <c r="M56" i="1"/>
  <c r="M25" i="1"/>
  <c r="M15" i="1"/>
  <c r="X2" i="1"/>
  <c r="Z38" i="1"/>
  <c r="Y33" i="1"/>
  <c r="X67" i="1"/>
  <c r="Z73" i="1"/>
  <c r="Y50" i="1"/>
  <c r="X57" i="1"/>
  <c r="Y63" i="1"/>
  <c r="Z69" i="1"/>
  <c r="X17" i="1"/>
  <c r="Y30" i="1"/>
  <c r="Y4" i="1"/>
  <c r="U36" i="1"/>
  <c r="U65" i="1"/>
  <c r="U51" i="1"/>
  <c r="U55" i="1"/>
  <c r="U74" i="1"/>
  <c r="U24" i="1"/>
  <c r="U7" i="1"/>
  <c r="U14" i="1"/>
  <c r="U21" i="1"/>
  <c r="AA37" i="1"/>
  <c r="AC37" i="1" s="1"/>
  <c r="AA36" i="1"/>
  <c r="AC36" i="1" s="1"/>
  <c r="AA35" i="1"/>
  <c r="AC35" i="1" s="1"/>
  <c r="P37" i="1"/>
  <c r="P46" i="1"/>
  <c r="P44" i="1"/>
  <c r="P34" i="1"/>
  <c r="P33" i="1"/>
  <c r="P32" i="1"/>
  <c r="T37" i="1" l="1"/>
  <c r="W37" i="1" s="1"/>
  <c r="T34" i="1"/>
  <c r="W34" i="1" s="1"/>
  <c r="T44" i="1"/>
  <c r="W44" i="1" s="1"/>
  <c r="T46" i="1"/>
  <c r="T32" i="1"/>
  <c r="T33" i="1"/>
  <c r="W33" i="1" s="1"/>
  <c r="U46" i="1" l="1"/>
  <c r="V46" i="1"/>
  <c r="W46" i="1"/>
  <c r="V44" i="1"/>
  <c r="U44" i="1"/>
  <c r="U33" i="1"/>
  <c r="V33" i="1"/>
  <c r="U34" i="1"/>
  <c r="V34" i="1"/>
  <c r="V32" i="1"/>
  <c r="U32" i="1"/>
  <c r="W32" i="1"/>
  <c r="V37" i="1"/>
  <c r="U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tc={0B89D995-191E-41AC-83CA-169B6D7F6247}</author>
  </authors>
  <commentList>
    <comment ref="L1" authorId="0" shapeId="0" xr:uid="{0B89D995-191E-41AC-83CA-169B6D7F6247}">
      <text>
        <t>[Threaded comment]
Your version of Excel allows you to read this threaded comment; however, any edits to it will get removed if the file is opened in a newer version of Excel. Learn more: https://go.microsoft.com/fwlink/?linkid=870924
Comment:
    Midpoint percentages used for each class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<sst xmlns="http://schemas.openxmlformats.org/spreadsheetml/2006/main" count="436" uniqueCount="176">
  <si>
    <t>Biome</t>
  </si>
  <si>
    <t>Stem</t>
  </si>
  <si>
    <t>Species</t>
  </si>
  <si>
    <t>SppAbbrev</t>
  </si>
  <si>
    <t>Date</t>
  </si>
  <si>
    <t>Rep</t>
  </si>
  <si>
    <t>MT</t>
  </si>
  <si>
    <t>BL</t>
  </si>
  <si>
    <t>BT</t>
  </si>
  <si>
    <t>BB</t>
  </si>
  <si>
    <t>LM3mm</t>
  </si>
  <si>
    <t>LM3_6mm</t>
  </si>
  <si>
    <t>LM6mm</t>
  </si>
  <si>
    <t>DM3mm</t>
  </si>
  <si>
    <t>DM3_6mm</t>
  </si>
  <si>
    <t>DM6mm</t>
  </si>
  <si>
    <t>FreshWt</t>
  </si>
  <si>
    <t>DryWt</t>
  </si>
  <si>
    <t>BrLen</t>
  </si>
  <si>
    <t>MaxBrWidth</t>
  </si>
  <si>
    <t>Bag ID</t>
  </si>
  <si>
    <t>Notes</t>
  </si>
  <si>
    <t>Fynbos</t>
  </si>
  <si>
    <t>NA</t>
  </si>
  <si>
    <t>Agathosma apiculata</t>
  </si>
  <si>
    <t>AGAAPI</t>
  </si>
  <si>
    <t>AA-1</t>
  </si>
  <si>
    <t>AB-2</t>
  </si>
  <si>
    <t>AC-3</t>
  </si>
  <si>
    <t>Anthospermum aethiopicum</t>
  </si>
  <si>
    <t>ANTAET</t>
  </si>
  <si>
    <t>CC-55</t>
  </si>
  <si>
    <t>CD-56</t>
  </si>
  <si>
    <t>CE-57</t>
  </si>
  <si>
    <t>Felicia echinata</t>
  </si>
  <si>
    <t>FELECH</t>
  </si>
  <si>
    <t>AM-13</t>
  </si>
  <si>
    <t>AN-14</t>
  </si>
  <si>
    <t>AO-15</t>
  </si>
  <si>
    <t>Helichrysum cymosum</t>
  </si>
  <si>
    <t>HELCYM</t>
  </si>
  <si>
    <t>CL-64</t>
  </si>
  <si>
    <t>Fresh wt collected on Friday after rain</t>
  </si>
  <si>
    <t>CM-65</t>
  </si>
  <si>
    <t>CN-66</t>
  </si>
  <si>
    <t>Helichrysum teretifolium</t>
  </si>
  <si>
    <t>HELTER</t>
  </si>
  <si>
    <t>AP-16</t>
  </si>
  <si>
    <t>AQ-17</t>
  </si>
  <si>
    <t>AR-18</t>
  </si>
  <si>
    <t>Metalasia densa</t>
  </si>
  <si>
    <t>METDEN</t>
  </si>
  <si>
    <t>CI-61</t>
  </si>
  <si>
    <t>CJ-62</t>
  </si>
  <si>
    <t>CK-63</t>
  </si>
  <si>
    <t>Passerina corymbosa</t>
  </si>
  <si>
    <t>PASCOR</t>
  </si>
  <si>
    <t>AD-4</t>
  </si>
  <si>
    <t>AE-5</t>
  </si>
  <si>
    <t>AF-6</t>
  </si>
  <si>
    <t>Phylica litoralis</t>
  </si>
  <si>
    <t>PHYLIT</t>
  </si>
  <si>
    <t>AY-25</t>
  </si>
  <si>
    <t>AZ-26</t>
  </si>
  <si>
    <t>BA-27</t>
  </si>
  <si>
    <t>Restio leptocladus</t>
  </si>
  <si>
    <t>RESLEP</t>
  </si>
  <si>
    <t>AJ-10</t>
  </si>
  <si>
    <t>AK-11</t>
  </si>
  <si>
    <t>AL-12</t>
  </si>
  <si>
    <t>Syncarpha sordescens</t>
  </si>
  <si>
    <t>SYNSOR</t>
  </si>
  <si>
    <t>CF-58</t>
  </si>
  <si>
    <t>CG-59</t>
  </si>
  <si>
    <t>CH-60</t>
  </si>
  <si>
    <t>ThickFor</t>
  </si>
  <si>
    <t>Single</t>
  </si>
  <si>
    <t>Canthium mundianum</t>
  </si>
  <si>
    <t>CANMUN</t>
  </si>
  <si>
    <t>BH-34</t>
  </si>
  <si>
    <t>BI-35</t>
  </si>
  <si>
    <t>BJ-36</t>
  </si>
  <si>
    <t>Multi</t>
  </si>
  <si>
    <t>Cassine peragua</t>
  </si>
  <si>
    <t>CASPER</t>
  </si>
  <si>
    <t>BQ-43</t>
  </si>
  <si>
    <t>BR-44</t>
  </si>
  <si>
    <t>BS-45</t>
  </si>
  <si>
    <t>Chionanthus foveolatus</t>
  </si>
  <si>
    <t>CHIFOV</t>
  </si>
  <si>
    <t>BN-40</t>
  </si>
  <si>
    <t>BO-41</t>
  </si>
  <si>
    <t>BP-42</t>
  </si>
  <si>
    <t>Fresh wt collected: 3/3/2016</t>
  </si>
  <si>
    <t>Mystroxylon aethiopicum</t>
  </si>
  <si>
    <t>MYSAET</t>
  </si>
  <si>
    <t>BZ-52</t>
  </si>
  <si>
    <t>CA-53</t>
  </si>
  <si>
    <t>CB-54</t>
  </si>
  <si>
    <t>Olea exasperata</t>
  </si>
  <si>
    <t>OLEEXA</t>
  </si>
  <si>
    <t>AV-22</t>
  </si>
  <si>
    <t>AW-23</t>
  </si>
  <si>
    <t>AX-24</t>
  </si>
  <si>
    <t>Pterocelastrus tricuspidatus</t>
  </si>
  <si>
    <t>PTETRI</t>
  </si>
  <si>
    <t>BE-31</t>
  </si>
  <si>
    <t>BF-32</t>
  </si>
  <si>
    <t>BG-33</t>
  </si>
  <si>
    <t>Rapanea gilliana</t>
  </si>
  <si>
    <t>RAPGIL</t>
  </si>
  <si>
    <t>AG-7</t>
  </si>
  <si>
    <t>AH-8</t>
  </si>
  <si>
    <t>AI-9</t>
  </si>
  <si>
    <t>Searsia glauca</t>
  </si>
  <si>
    <t>SEAGLA</t>
  </si>
  <si>
    <t>AS-19</t>
  </si>
  <si>
    <t>AT-20</t>
  </si>
  <si>
    <t>AU-21</t>
  </si>
  <si>
    <t>Sideroxylon inerme</t>
  </si>
  <si>
    <t>SIDINE</t>
  </si>
  <si>
    <t>BK-37</t>
  </si>
  <si>
    <t>BL-38</t>
  </si>
  <si>
    <t>BM-39</t>
  </si>
  <si>
    <t>Tarchonanthus camphoratus</t>
  </si>
  <si>
    <t>TARCAM</t>
  </si>
  <si>
    <t>BW-49</t>
  </si>
  <si>
    <t>BX-50</t>
  </si>
  <si>
    <t>BY-51</t>
  </si>
  <si>
    <t>Zanthoxylum capense</t>
  </si>
  <si>
    <t>ZANCAP</t>
  </si>
  <si>
    <t>BB-28</t>
  </si>
  <si>
    <t>BC-29</t>
  </si>
  <si>
    <t>BD-30</t>
  </si>
  <si>
    <t>Garden</t>
  </si>
  <si>
    <t>Acacia cyclops</t>
  </si>
  <si>
    <t>ACACYC</t>
  </si>
  <si>
    <t>Brachylaena discolor</t>
  </si>
  <si>
    <t>BRADIS</t>
  </si>
  <si>
    <t>Chrysanthemoides monilifera</t>
  </si>
  <si>
    <t>CHRMON</t>
  </si>
  <si>
    <t>Metrosideros sp.</t>
  </si>
  <si>
    <t>METSPP</t>
  </si>
  <si>
    <t>Myoporum excelsa</t>
  </si>
  <si>
    <t>MYOEXC</t>
  </si>
  <si>
    <t>CO-67</t>
  </si>
  <si>
    <t>CP-68</t>
  </si>
  <si>
    <t>CQ-69</t>
  </si>
  <si>
    <t>CR-70</t>
  </si>
  <si>
    <t>CS-71</t>
  </si>
  <si>
    <t>CT-72</t>
  </si>
  <si>
    <t>CX-76</t>
  </si>
  <si>
    <t>CY-77</t>
  </si>
  <si>
    <t>DA-78</t>
  </si>
  <si>
    <t>CU-73</t>
  </si>
  <si>
    <t>CV-74</t>
  </si>
  <si>
    <t>CW-75</t>
  </si>
  <si>
    <t>BT-46</t>
  </si>
  <si>
    <t>BU-47</t>
  </si>
  <si>
    <t>BV-48</t>
  </si>
  <si>
    <t>Moisture_Content</t>
  </si>
  <si>
    <t>Tot_LM_DM_Wt</t>
  </si>
  <si>
    <t>LM3_6%</t>
  </si>
  <si>
    <t>LM3%</t>
  </si>
  <si>
    <t>LM6%</t>
  </si>
  <si>
    <t>FI</t>
  </si>
  <si>
    <t>BR</t>
  </si>
  <si>
    <t>DM3%</t>
  </si>
  <si>
    <t>DM3_6%</t>
  </si>
  <si>
    <t>DM6%</t>
  </si>
  <si>
    <t>Vol_cm3</t>
  </si>
  <si>
    <t>BB_%</t>
  </si>
  <si>
    <t>Class</t>
  </si>
  <si>
    <t>Lower</t>
  </si>
  <si>
    <t>Upper</t>
  </si>
  <si>
    <t>Midpoint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</si>
</sst>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/>
    <xf numFmtId="15" fontId="0" fillId="0" borderId="10" xfId="0" applyNumberFormat="1" applyBorder="1"/>
    <xf numFmtId="0" fontId="0" fillId="0" borderId="10" xfId="0" applyBorder="1" applyAlignment="1">
      <alignment horizontal="center"/>
    </xf>
    <xf numFmtId="0" fontId="18" fillId="0" borderId="10" xfId="0" applyFont="1" applyBorder="1"/>
    <xf numFmtId="0" fontId="18" fillId="0" borderId="10" xfId="0" applyFont="1" applyBorder="1" applyAlignment="1">
      <alignment horizontal="center"/>
    </xf>
    <xf numFmtId="0" fontId="8" fillId="4" borderId="0" xfId="8"/>
    <xf numFmtId="0" fontId="8" fillId="4" borderId="0" xfId="8" applyAlignment="1">
      <alignment horizontal="center"/>
    </xf>
    <xf numFmtId="0" fontId="6" fillId="2" borderId="0" xfId="6"/>
    <xf numFmtId="0" fontId="6" fillId="2" borderId="0" xfId="6" applyAlignment="1">
      <alignment horizontal="center"/>
    </xf>
    <xf numFmtId="0" fontId="7" fillId="3" borderId="0" xfId="7"/>
    <xf numFmtId="0" fontId="7" fillId="3" borderId="0" xfId="7" applyAlignment="1">
      <alignment horizontal="center"/>
    </xf>
    <xf numFmtId="0" fontId="7" fillId="3" borderId="0" xfId="7" applyBorder="1"/>
    <xf numFmtId="0" fontId="7" fillId="3" borderId="0" xfId="7" applyBorder="1" applyAlignment="1">
      <alignment horizontal="center"/>
    </xf>
    <xf numFmtId="164" fontId="0" fillId="0" borderId="0" xfId="0" applyNumberFormat="1"/>
    <xf numFmtId="0" fontId="6" fillId="2" borderId="10" xfId="6" applyBorder="1"/>
    <xf numFmtId="0" fontId="6" fillId="2" borderId="10" xfId="6" applyBorder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sweli, Samukelisiwe (Ms) (George Campus)" id="{21134DBF-8A54-4713-AB37-17FD2FC3A522}" userId="S::SamukelisiweM@mandela.ac.za::fef358ed-1801-4146-b825-8ed186f324dc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5-11-11T09:11:58.64" personId="{21134DBF-8A54-4713-AB37-17FD2FC3A522}" id="{0B89D995-191E-41AC-83CA-169B6D7F6247}">
    <text>Midpoint percentages used for each class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79"/>
  <sheetViews>
    <sheetView tabSelected="1" zoomScale="120" zoomScaleNormal="120" workbookViewId="0">
      <pane ySplit="1" topLeftCell="A2" activePane="bottomLeft" state="frozen"/>
      <selection pane="bottomLeft" activeCell="L2" sqref="L2:L79"/>
    </sheetView>
  </sheetViews>
  <sheetFormatPr defaultRowHeight="15" x14ac:dyDescent="0.25"/>
  <cols>
    <col min="1" max="1" width="9.42578125" bestFit="1" customWidth="1"/>
    <col min="2" max="2" width="8" bestFit="1" customWidth="1"/>
    <col min="3" max="3" width="29" bestFit="1" customWidth="1"/>
    <col min="4" max="4" width="15.7109375" style="2" bestFit="1" customWidth="1"/>
    <col min="5" max="5" width="11" bestFit="1" customWidth="1"/>
    <col min="6" max="6" width="6.5703125" bestFit="1" customWidth="1"/>
    <col min="7" max="7" width="7.28515625" style="2" bestFit="1" customWidth="1"/>
    <col min="8" max="8" width="6.28515625" style="2" bestFit="1" customWidth="1"/>
    <col min="9" max="9" width="7.28515625" style="2" bestFit="1" customWidth="1"/>
    <col min="10" max="10" width="6.28515625" style="2" bestFit="1" customWidth="1"/>
    <col min="11" max="11" width="5.28515625" style="2" bestFit="1" customWidth="1"/>
    <col min="12" max="12" width="11.7109375" style="2" customWidth="1"/>
    <col min="13" max="13" width="6.28515625" style="2" bestFit="1" customWidth="1"/>
    <col min="14" max="14" width="11.42578125" style="2" bestFit="1" customWidth="1"/>
    <col min="15" max="15" width="14.28515625" style="2" bestFit="1" customWidth="1"/>
    <col min="16" max="16" width="11.42578125" style="2" bestFit="1" customWidth="1"/>
    <col min="17" max="17" width="11.7109375" style="2" bestFit="1" customWidth="1"/>
    <col min="18" max="18" width="14.42578125" style="2" bestFit="1" customWidth="1"/>
    <col min="19" max="19" width="11.7109375" style="2" bestFit="1" customWidth="1"/>
    <col min="20" max="20" width="21.7109375" style="2" bestFit="1" customWidth="1"/>
    <col min="21" max="21" width="9.28515625" style="2" bestFit="1" customWidth="1"/>
    <col min="22" max="22" width="12" style="2" bestFit="1" customWidth="1"/>
    <col min="23" max="23" width="9.28515625" style="2" bestFit="1" customWidth="1"/>
    <col min="24" max="24" width="9.42578125" style="2" bestFit="1" customWidth="1"/>
    <col min="25" max="25" width="12.28515625" style="2" bestFit="1" customWidth="1"/>
    <col min="26" max="26" width="9.42578125" style="2" bestFit="1" customWidth="1"/>
    <col min="27" max="27" width="12.28515625" style="2" bestFit="1" customWidth="1"/>
    <col min="28" max="28" width="9.42578125" style="2" bestFit="1" customWidth="1"/>
    <col min="29" max="29" width="23.7109375" style="2" bestFit="1" customWidth="1"/>
    <col min="30" max="30" width="8.85546875" style="2" customWidth="1"/>
    <col min="31" max="31" width="17.28515625" style="2" customWidth="1"/>
    <col min="33" max="33" width="8.85546875" style="16"/>
  </cols>
  <sheetData>
    <row r="1" spans="1:34" s="3" customFormat="1" ht="15.75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7" t="s">
        <v>8</v>
      </c>
      <c r="J1" s="7" t="s">
        <v>166</v>
      </c>
      <c r="K1" s="7" t="s">
        <v>9</v>
      </c>
      <c r="L1" s="7" t="s">
        <v>171</v>
      </c>
      <c r="M1" s="7" t="s">
        <v>165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161</v>
      </c>
      <c r="U1" s="7" t="s">
        <v>163</v>
      </c>
      <c r="V1" s="7" t="s">
        <v>162</v>
      </c>
      <c r="W1" s="7" t="s">
        <v>164</v>
      </c>
      <c r="X1" s="7" t="s">
        <v>167</v>
      </c>
      <c r="Y1" s="7" t="s">
        <v>168</v>
      </c>
      <c r="Z1" s="7" t="s">
        <v>169</v>
      </c>
      <c r="AA1" s="7" t="s">
        <v>16</v>
      </c>
      <c r="AB1" s="7" t="s">
        <v>17</v>
      </c>
      <c r="AC1" s="7" t="s">
        <v>160</v>
      </c>
      <c r="AD1" s="7" t="s">
        <v>18</v>
      </c>
      <c r="AE1" s="7" t="s">
        <v>19</v>
      </c>
      <c r="AF1" s="3" t="s">
        <v>20</v>
      </c>
      <c r="AG1" s="16" t="s">
        <v>170</v>
      </c>
      <c r="AH1" s="3" t="s">
        <v>21</v>
      </c>
    </row>
    <row r="2" spans="1:34" x14ac:dyDescent="0.25">
      <c r="A2" s="8" t="s">
        <v>22</v>
      </c>
      <c r="B2" s="8" t="s">
        <v>23</v>
      </c>
      <c r="C2" s="8" t="s">
        <v>24</v>
      </c>
      <c r="D2" s="9" t="s">
        <v>25</v>
      </c>
      <c r="E2" s="1">
        <v>42417</v>
      </c>
      <c r="F2">
        <v>1</v>
      </c>
      <c r="G2" s="2">
        <v>750.5</v>
      </c>
      <c r="H2" s="2">
        <v>21</v>
      </c>
      <c r="I2" s="2">
        <v>17.5</v>
      </c>
      <c r="J2" s="2">
        <f t="shared" ref="J2:J36" si="0">ROUND(H2/I2,2)</f>
        <v>1.2</v>
      </c>
      <c r="K2" s="2">
        <v>5</v>
      </c>
      <c r="L2" s="2" cm="1">
        <f t="array" ref="L2">_xlfn.IFS(K2=1,0.5,K2=2,5.5,K2=3,18,K2=4,38,K2=5,63,K2=6,88)</f>
        <v>63</v>
      </c>
      <c r="M2" s="2">
        <f>ROUND(G2/MAX($G$2:$G$79)+J2/MAX($J$2:$J$79)+K2/MAX($K$2:$K$79),2)</f>
        <v>2.34</v>
      </c>
      <c r="N2" s="2">
        <v>101.4</v>
      </c>
      <c r="O2" s="2">
        <v>11.2</v>
      </c>
      <c r="P2" s="2">
        <v>14.2</v>
      </c>
      <c r="Q2" s="2">
        <v>2.4</v>
      </c>
      <c r="R2" s="2">
        <v>0</v>
      </c>
      <c r="S2" s="2">
        <v>0</v>
      </c>
      <c r="T2" s="2">
        <f t="shared" ref="T2:T33" si="1">SUM(N2:S2)</f>
        <v>129.20000000000002</v>
      </c>
      <c r="U2" s="2">
        <f t="shared" ref="U2:U33" si="2">ROUND(N2/T2*100,1)</f>
        <v>78.5</v>
      </c>
      <c r="V2" s="2">
        <f t="shared" ref="V2:V33" si="3">ROUND(O2/T2*100,1)</f>
        <v>8.6999999999999993</v>
      </c>
      <c r="W2" s="2">
        <f>ROUND(P2/$T$2*100,1)</f>
        <v>11</v>
      </c>
      <c r="X2" s="2">
        <f>ROUND(Q2/$T$2*100,1)</f>
        <v>1.9</v>
      </c>
      <c r="Y2" s="2">
        <f>ROUND(R2/$T$2*100,1)</f>
        <v>0</v>
      </c>
      <c r="Z2" s="2">
        <f>ROUND(S2/$T$2*100,1)</f>
        <v>0</v>
      </c>
      <c r="AA2" s="2">
        <v>75.400000000000006</v>
      </c>
      <c r="AB2" s="2">
        <v>41.92</v>
      </c>
      <c r="AC2" s="2">
        <f>ROUND((AA2-AB2)/AA2*100,1)</f>
        <v>44.4</v>
      </c>
      <c r="AD2" s="2">
        <v>40</v>
      </c>
      <c r="AE2" s="2">
        <v>29</v>
      </c>
      <c r="AF2" t="s">
        <v>26</v>
      </c>
      <c r="AG2" s="16">
        <v>65.949999999999989</v>
      </c>
    </row>
    <row r="3" spans="1:34" x14ac:dyDescent="0.25">
      <c r="A3" s="8" t="s">
        <v>22</v>
      </c>
      <c r="B3" s="8" t="s">
        <v>23</v>
      </c>
      <c r="C3" s="8" t="s">
        <v>24</v>
      </c>
      <c r="D3" s="9" t="s">
        <v>25</v>
      </c>
      <c r="E3" s="1">
        <v>42417</v>
      </c>
      <c r="F3">
        <v>2</v>
      </c>
      <c r="G3" s="2">
        <v>722.3</v>
      </c>
      <c r="H3" s="2">
        <v>18</v>
      </c>
      <c r="I3" s="2">
        <v>40.200000000000003</v>
      </c>
      <c r="J3" s="2">
        <f t="shared" si="0"/>
        <v>0.45</v>
      </c>
      <c r="K3" s="2">
        <v>5</v>
      </c>
      <c r="L3" s="2" cm="1">
        <f t="array" ref="L3">_xlfn.IFS(K3=1,0.5,K3=2,5.5,K3=3,18,K3=4,38,K3=5,63,K3=6,88)</f>
        <v>63</v>
      </c>
      <c r="M3" s="2">
        <f t="shared" ref="M2:M33" si="4">ROUND(G3/MAX($G$2:$G$79)+J3/MAX($J$2:$J$79)+K3/MAX($K$2:$K$79),2)</f>
        <v>1.95</v>
      </c>
      <c r="N3" s="2">
        <v>90.4</v>
      </c>
      <c r="O3" s="2">
        <v>8.6</v>
      </c>
      <c r="P3" s="2">
        <v>4.4000000000000004</v>
      </c>
      <c r="Q3" s="2">
        <v>2</v>
      </c>
      <c r="R3" s="2">
        <v>0</v>
      </c>
      <c r="S3" s="2">
        <v>0</v>
      </c>
      <c r="T3" s="2">
        <f t="shared" si="1"/>
        <v>105.4</v>
      </c>
      <c r="U3" s="2">
        <f t="shared" si="2"/>
        <v>85.8</v>
      </c>
      <c r="V3" s="2">
        <f t="shared" si="3"/>
        <v>8.1999999999999993</v>
      </c>
      <c r="W3" s="2">
        <f t="shared" ref="W3:W34" si="5">ROUND(P3/T3*100,1)</f>
        <v>4.2</v>
      </c>
      <c r="X3" s="2">
        <f t="shared" ref="X3:X34" si="6">ROUND(Q3/$T$2*100,1)</f>
        <v>1.5</v>
      </c>
      <c r="Y3" s="2">
        <f t="shared" ref="Y3:Y34" si="7">ROUND(R3/$T$2*100,1)</f>
        <v>0</v>
      </c>
      <c r="Z3" s="2">
        <f t="shared" ref="Z3:Z34" si="8">ROUND(S3/$T$2*100,1)</f>
        <v>0</v>
      </c>
      <c r="AA3" s="2">
        <v>230.6</v>
      </c>
      <c r="AB3" s="2">
        <v>148.13999999999999</v>
      </c>
      <c r="AC3" s="2">
        <f t="shared" ref="AC3:AC33" si="9">ROUND((AA3-AB3)/AA3*100,1)</f>
        <v>35.799999999999997</v>
      </c>
      <c r="AD3" s="2">
        <v>36</v>
      </c>
      <c r="AE3" s="2">
        <v>49</v>
      </c>
      <c r="AF3" t="s">
        <v>27</v>
      </c>
      <c r="AG3" s="16">
        <v>289.75</v>
      </c>
    </row>
    <row r="4" spans="1:34" x14ac:dyDescent="0.25">
      <c r="A4" s="8" t="s">
        <v>22</v>
      </c>
      <c r="B4" s="8" t="s">
        <v>23</v>
      </c>
      <c r="C4" s="8" t="s">
        <v>24</v>
      </c>
      <c r="D4" s="9" t="s">
        <v>25</v>
      </c>
      <c r="E4" s="1">
        <v>42417</v>
      </c>
      <c r="F4">
        <v>3</v>
      </c>
      <c r="G4" s="2">
        <v>520</v>
      </c>
      <c r="H4" s="2">
        <v>15</v>
      </c>
      <c r="I4" s="2">
        <v>50.5</v>
      </c>
      <c r="J4" s="2">
        <f t="shared" si="0"/>
        <v>0.3</v>
      </c>
      <c r="K4" s="2">
        <v>6</v>
      </c>
      <c r="L4" s="2" cm="1">
        <f t="array" ref="L4">_xlfn.IFS(K4=1,0.5,K4=2,5.5,K4=3,18,K4=4,38,K4=5,63,K4=6,88)</f>
        <v>88</v>
      </c>
      <c r="M4" s="2">
        <f t="shared" si="4"/>
        <v>1.79</v>
      </c>
      <c r="N4" s="2">
        <v>73.599999999999994</v>
      </c>
      <c r="O4" s="2">
        <v>20</v>
      </c>
      <c r="P4" s="2">
        <v>20.2</v>
      </c>
      <c r="Q4" s="2">
        <v>6.8</v>
      </c>
      <c r="R4" s="2">
        <v>0.2</v>
      </c>
      <c r="S4" s="2">
        <v>0</v>
      </c>
      <c r="T4" s="2">
        <f t="shared" si="1"/>
        <v>120.8</v>
      </c>
      <c r="U4" s="2">
        <f t="shared" si="2"/>
        <v>60.9</v>
      </c>
      <c r="V4" s="2">
        <f t="shared" si="3"/>
        <v>16.600000000000001</v>
      </c>
      <c r="W4" s="2">
        <f t="shared" si="5"/>
        <v>16.7</v>
      </c>
      <c r="X4" s="2">
        <f t="shared" si="6"/>
        <v>5.3</v>
      </c>
      <c r="Y4" s="2">
        <f t="shared" si="7"/>
        <v>0.2</v>
      </c>
      <c r="Z4" s="2">
        <f t="shared" si="8"/>
        <v>0</v>
      </c>
      <c r="AA4" s="2">
        <v>104.2</v>
      </c>
      <c r="AB4" s="2">
        <v>63.41</v>
      </c>
      <c r="AC4" s="2">
        <f t="shared" si="9"/>
        <v>39.1</v>
      </c>
      <c r="AD4" s="2">
        <v>51</v>
      </c>
      <c r="AE4" s="2">
        <v>23</v>
      </c>
      <c r="AF4" t="s">
        <v>28</v>
      </c>
      <c r="AG4" s="16">
        <v>87.35</v>
      </c>
    </row>
    <row r="5" spans="1:34" x14ac:dyDescent="0.25">
      <c r="A5" s="8" t="s">
        <v>22</v>
      </c>
      <c r="B5" s="8" t="s">
        <v>23</v>
      </c>
      <c r="C5" s="8" t="s">
        <v>55</v>
      </c>
      <c r="D5" s="9" t="s">
        <v>56</v>
      </c>
      <c r="E5" s="1">
        <v>42417</v>
      </c>
      <c r="F5">
        <v>1</v>
      </c>
      <c r="G5" s="2">
        <v>571.70000000000005</v>
      </c>
      <c r="H5" s="2">
        <v>17.5</v>
      </c>
      <c r="I5" s="2">
        <v>15.1</v>
      </c>
      <c r="J5" s="2">
        <f t="shared" si="0"/>
        <v>1.1599999999999999</v>
      </c>
      <c r="K5" s="2">
        <v>2</v>
      </c>
      <c r="L5" s="2" cm="1">
        <f t="array" ref="L5">_xlfn.IFS(K5=1,0.5,K5=2,5.5,K5=3,18,K5=4,38,K5=5,63,K5=6,88)</f>
        <v>5.5</v>
      </c>
      <c r="M5" s="2">
        <f t="shared" si="4"/>
        <v>1.6</v>
      </c>
      <c r="N5" s="2">
        <v>79.400000000000006</v>
      </c>
      <c r="O5" s="2">
        <v>11.2</v>
      </c>
      <c r="P5" s="2">
        <v>12</v>
      </c>
      <c r="Q5" s="2">
        <v>9.4</v>
      </c>
      <c r="R5" s="2">
        <v>0</v>
      </c>
      <c r="S5" s="2">
        <v>0</v>
      </c>
      <c r="T5" s="2">
        <f t="shared" si="1"/>
        <v>112.00000000000001</v>
      </c>
      <c r="U5" s="2">
        <f t="shared" si="2"/>
        <v>70.900000000000006</v>
      </c>
      <c r="V5" s="2">
        <f t="shared" si="3"/>
        <v>10</v>
      </c>
      <c r="W5" s="2">
        <f t="shared" si="5"/>
        <v>10.7</v>
      </c>
      <c r="X5" s="2">
        <f t="shared" si="6"/>
        <v>7.3</v>
      </c>
      <c r="Y5" s="2">
        <f t="shared" si="7"/>
        <v>0</v>
      </c>
      <c r="Z5" s="2">
        <f t="shared" si="8"/>
        <v>0</v>
      </c>
      <c r="AA5" s="2">
        <v>80.599999999999994</v>
      </c>
      <c r="AB5" s="2">
        <v>54.05</v>
      </c>
      <c r="AC5" s="2">
        <f t="shared" si="9"/>
        <v>32.9</v>
      </c>
      <c r="AD5" s="2">
        <v>84</v>
      </c>
      <c r="AE5" s="2">
        <v>30</v>
      </c>
      <c r="AF5" t="s">
        <v>57</v>
      </c>
      <c r="AG5" s="16">
        <v>75.949999999999989</v>
      </c>
    </row>
    <row r="6" spans="1:34" x14ac:dyDescent="0.25">
      <c r="A6" s="8" t="s">
        <v>22</v>
      </c>
      <c r="B6" s="8" t="s">
        <v>23</v>
      </c>
      <c r="C6" s="8" t="s">
        <v>55</v>
      </c>
      <c r="D6" s="9" t="s">
        <v>56</v>
      </c>
      <c r="E6" s="1">
        <v>42417</v>
      </c>
      <c r="F6">
        <v>2</v>
      </c>
      <c r="G6" s="2">
        <v>716.3</v>
      </c>
      <c r="H6" s="2">
        <v>20</v>
      </c>
      <c r="I6" s="2">
        <v>11.9</v>
      </c>
      <c r="J6" s="2">
        <f t="shared" si="0"/>
        <v>1.68</v>
      </c>
      <c r="K6" s="2">
        <v>4</v>
      </c>
      <c r="L6" s="2" cm="1">
        <f t="array" ref="L6">_xlfn.IFS(K6=1,0.5,K6=2,5.5,K6=3,18,K6=4,38,K6=5,63,K6=6,88)</f>
        <v>38</v>
      </c>
      <c r="M6" s="2">
        <f t="shared" si="4"/>
        <v>2.36</v>
      </c>
      <c r="N6" s="2">
        <v>87.8</v>
      </c>
      <c r="O6" s="2">
        <v>4.4000000000000004</v>
      </c>
      <c r="P6" s="2">
        <v>16.2</v>
      </c>
      <c r="Q6" s="2">
        <v>1.6</v>
      </c>
      <c r="R6" s="2">
        <v>0</v>
      </c>
      <c r="S6" s="2">
        <v>0</v>
      </c>
      <c r="T6" s="2">
        <f t="shared" si="1"/>
        <v>110</v>
      </c>
      <c r="U6" s="2">
        <f t="shared" si="2"/>
        <v>79.8</v>
      </c>
      <c r="V6" s="2">
        <f t="shared" si="3"/>
        <v>4</v>
      </c>
      <c r="W6" s="2">
        <f t="shared" si="5"/>
        <v>14.7</v>
      </c>
      <c r="X6" s="2">
        <f t="shared" si="6"/>
        <v>1.2</v>
      </c>
      <c r="Y6" s="2">
        <f t="shared" si="7"/>
        <v>0</v>
      </c>
      <c r="Z6" s="2">
        <f t="shared" si="8"/>
        <v>0</v>
      </c>
      <c r="AA6" s="2">
        <v>159.80000000000001</v>
      </c>
      <c r="AB6" s="2">
        <v>108.87</v>
      </c>
      <c r="AC6" s="2">
        <f t="shared" si="9"/>
        <v>31.9</v>
      </c>
      <c r="AD6" s="2">
        <v>40</v>
      </c>
      <c r="AE6" s="2">
        <v>37</v>
      </c>
      <c r="AF6" t="s">
        <v>58</v>
      </c>
      <c r="AG6" s="16">
        <v>289.35000000000002</v>
      </c>
    </row>
    <row r="7" spans="1:34" x14ac:dyDescent="0.25">
      <c r="A7" s="8" t="s">
        <v>22</v>
      </c>
      <c r="B7" s="8" t="s">
        <v>23</v>
      </c>
      <c r="C7" s="8" t="s">
        <v>55</v>
      </c>
      <c r="D7" s="9" t="s">
        <v>56</v>
      </c>
      <c r="E7" s="1">
        <v>42417</v>
      </c>
      <c r="F7">
        <v>3</v>
      </c>
      <c r="G7" s="2">
        <v>800</v>
      </c>
      <c r="H7" s="2">
        <v>35.5</v>
      </c>
      <c r="I7" s="2">
        <v>29.1</v>
      </c>
      <c r="J7" s="2">
        <f t="shared" si="0"/>
        <v>1.22</v>
      </c>
      <c r="K7" s="2">
        <v>6</v>
      </c>
      <c r="L7" s="2" cm="1">
        <f t="array" ref="L7">_xlfn.IFS(K7=1,0.5,K7=2,5.5,K7=3,18,K7=4,38,K7=5,63,K7=6,88)</f>
        <v>88</v>
      </c>
      <c r="M7" s="2">
        <f t="shared" si="4"/>
        <v>2.58</v>
      </c>
      <c r="N7" s="2">
        <v>50.6</v>
      </c>
      <c r="O7" s="2">
        <v>7</v>
      </c>
      <c r="P7" s="2">
        <v>11.2</v>
      </c>
      <c r="Q7" s="2">
        <v>14.4</v>
      </c>
      <c r="R7" s="2">
        <v>0</v>
      </c>
      <c r="S7" s="2">
        <v>0</v>
      </c>
      <c r="T7" s="2">
        <f t="shared" si="1"/>
        <v>83.2</v>
      </c>
      <c r="U7" s="2">
        <f t="shared" si="2"/>
        <v>60.8</v>
      </c>
      <c r="V7" s="2">
        <f t="shared" si="3"/>
        <v>8.4</v>
      </c>
      <c r="W7" s="2">
        <f t="shared" si="5"/>
        <v>13.5</v>
      </c>
      <c r="X7" s="2">
        <f t="shared" si="6"/>
        <v>11.1</v>
      </c>
      <c r="Y7" s="2">
        <f t="shared" si="7"/>
        <v>0</v>
      </c>
      <c r="Z7" s="2">
        <f t="shared" si="8"/>
        <v>0</v>
      </c>
      <c r="AA7" s="2">
        <v>128.6</v>
      </c>
      <c r="AB7" s="2">
        <v>83.95</v>
      </c>
      <c r="AC7" s="2">
        <f t="shared" si="9"/>
        <v>34.700000000000003</v>
      </c>
      <c r="AD7" s="2">
        <v>55</v>
      </c>
      <c r="AE7" s="2">
        <v>38</v>
      </c>
      <c r="AF7" t="s">
        <v>59</v>
      </c>
      <c r="AG7" s="16">
        <v>268.75</v>
      </c>
    </row>
    <row r="8" spans="1:34" x14ac:dyDescent="0.25">
      <c r="A8" s="8" t="s">
        <v>22</v>
      </c>
      <c r="B8" s="8" t="s">
        <v>23</v>
      </c>
      <c r="C8" s="8" t="s">
        <v>65</v>
      </c>
      <c r="D8" s="9" t="s">
        <v>66</v>
      </c>
      <c r="E8" s="1">
        <v>42417</v>
      </c>
      <c r="F8">
        <v>1</v>
      </c>
      <c r="G8" s="2">
        <v>800</v>
      </c>
      <c r="H8" s="2">
        <v>38</v>
      </c>
      <c r="I8" s="2">
        <v>36.200000000000003</v>
      </c>
      <c r="J8" s="2">
        <f t="shared" si="0"/>
        <v>1.05</v>
      </c>
      <c r="K8" s="2">
        <v>6</v>
      </c>
      <c r="L8" s="2" cm="1">
        <f t="array" ref="L8">_xlfn.IFS(K8=1,0.5,K8=2,5.5,K8=3,18,K8=4,38,K8=5,63,K8=6,88)</f>
        <v>88</v>
      </c>
      <c r="M8" s="2">
        <f t="shared" si="4"/>
        <v>2.5</v>
      </c>
      <c r="N8" s="2">
        <v>104.4</v>
      </c>
      <c r="O8" s="2">
        <v>0</v>
      </c>
      <c r="P8" s="2">
        <v>0</v>
      </c>
      <c r="Q8" s="2">
        <v>2.2000000000000002</v>
      </c>
      <c r="R8" s="2">
        <v>0</v>
      </c>
      <c r="S8" s="2">
        <v>0</v>
      </c>
      <c r="T8" s="2">
        <f t="shared" si="1"/>
        <v>106.60000000000001</v>
      </c>
      <c r="U8" s="2">
        <f t="shared" si="2"/>
        <v>97.9</v>
      </c>
      <c r="V8" s="2">
        <f t="shared" si="3"/>
        <v>0</v>
      </c>
      <c r="W8" s="2">
        <f t="shared" si="5"/>
        <v>0</v>
      </c>
      <c r="X8" s="2">
        <f t="shared" si="6"/>
        <v>1.7</v>
      </c>
      <c r="Y8" s="2">
        <f t="shared" si="7"/>
        <v>0</v>
      </c>
      <c r="Z8" s="2">
        <f t="shared" si="8"/>
        <v>0</v>
      </c>
      <c r="AA8" s="2">
        <v>107</v>
      </c>
      <c r="AB8" s="2">
        <v>67.45</v>
      </c>
      <c r="AC8" s="2">
        <f t="shared" si="9"/>
        <v>37</v>
      </c>
      <c r="AD8" s="2">
        <v>87</v>
      </c>
      <c r="AE8" s="2">
        <v>16</v>
      </c>
      <c r="AF8" t="s">
        <v>67</v>
      </c>
      <c r="AG8" s="16">
        <v>88.549999999999983</v>
      </c>
    </row>
    <row r="9" spans="1:34" x14ac:dyDescent="0.25">
      <c r="A9" s="8" t="s">
        <v>22</v>
      </c>
      <c r="B9" s="8" t="s">
        <v>23</v>
      </c>
      <c r="C9" s="8" t="s">
        <v>65</v>
      </c>
      <c r="D9" s="9" t="s">
        <v>66</v>
      </c>
      <c r="E9" s="1">
        <v>42417</v>
      </c>
      <c r="F9">
        <v>2</v>
      </c>
      <c r="G9" s="2">
        <v>778.5</v>
      </c>
      <c r="H9" s="2">
        <v>23</v>
      </c>
      <c r="I9" s="2">
        <v>27.9</v>
      </c>
      <c r="J9" s="2">
        <f t="shared" si="0"/>
        <v>0.82</v>
      </c>
      <c r="K9" s="2">
        <v>5</v>
      </c>
      <c r="L9" s="2" cm="1">
        <f t="array" ref="L9">_xlfn.IFS(K9=1,0.5,K9=2,5.5,K9=3,18,K9=4,38,K9=5,63,K9=6,88)</f>
        <v>63</v>
      </c>
      <c r="M9" s="2">
        <f t="shared" si="4"/>
        <v>2.2000000000000002</v>
      </c>
      <c r="N9" s="2">
        <v>140</v>
      </c>
      <c r="O9" s="2">
        <v>1.4</v>
      </c>
      <c r="P9" s="2">
        <v>0</v>
      </c>
      <c r="Q9" s="2">
        <v>28.8</v>
      </c>
      <c r="R9" s="2">
        <v>0</v>
      </c>
      <c r="S9" s="2">
        <v>0</v>
      </c>
      <c r="T9" s="2">
        <f t="shared" si="1"/>
        <v>170.20000000000002</v>
      </c>
      <c r="U9" s="2">
        <f t="shared" si="2"/>
        <v>82.3</v>
      </c>
      <c r="V9" s="2">
        <f t="shared" si="3"/>
        <v>0.8</v>
      </c>
      <c r="W9" s="2">
        <f t="shared" si="5"/>
        <v>0</v>
      </c>
      <c r="X9" s="2">
        <f t="shared" si="6"/>
        <v>22.3</v>
      </c>
      <c r="Y9" s="2">
        <f t="shared" si="7"/>
        <v>0</v>
      </c>
      <c r="Z9" s="2">
        <f t="shared" si="8"/>
        <v>0</v>
      </c>
      <c r="AA9" s="2">
        <v>98.2</v>
      </c>
      <c r="AB9" s="2">
        <v>55.09</v>
      </c>
      <c r="AC9" s="2">
        <f t="shared" si="9"/>
        <v>43.9</v>
      </c>
      <c r="AD9" s="2">
        <v>60</v>
      </c>
      <c r="AE9" s="2">
        <v>17</v>
      </c>
      <c r="AF9" t="s">
        <v>68</v>
      </c>
      <c r="AG9" s="16">
        <v>71.150000000000006</v>
      </c>
    </row>
    <row r="10" spans="1:34" x14ac:dyDescent="0.25">
      <c r="A10" s="8" t="s">
        <v>22</v>
      </c>
      <c r="B10" s="8" t="s">
        <v>23</v>
      </c>
      <c r="C10" s="8" t="s">
        <v>65</v>
      </c>
      <c r="D10" s="9" t="s">
        <v>66</v>
      </c>
      <c r="E10" s="1">
        <v>42417</v>
      </c>
      <c r="F10">
        <v>3</v>
      </c>
      <c r="G10" s="2">
        <v>800</v>
      </c>
      <c r="H10" s="2">
        <v>24</v>
      </c>
      <c r="I10" s="2">
        <v>20.5</v>
      </c>
      <c r="J10" s="2">
        <f t="shared" si="0"/>
        <v>1.17</v>
      </c>
      <c r="K10" s="2">
        <v>6</v>
      </c>
      <c r="L10" s="2" cm="1">
        <f t="array" ref="L10">_xlfn.IFS(K10=1,0.5,K10=2,5.5,K10=3,18,K10=4,38,K10=5,63,K10=6,88)</f>
        <v>88</v>
      </c>
      <c r="M10" s="2">
        <f t="shared" si="4"/>
        <v>2.5499999999999998</v>
      </c>
      <c r="N10" s="2">
        <v>169.2</v>
      </c>
      <c r="O10" s="2">
        <v>0</v>
      </c>
      <c r="P10" s="2">
        <v>0</v>
      </c>
      <c r="Q10" s="2">
        <v>6.6</v>
      </c>
      <c r="R10" s="2">
        <v>0</v>
      </c>
      <c r="S10" s="2">
        <v>0</v>
      </c>
      <c r="T10" s="2">
        <f t="shared" si="1"/>
        <v>175.79999999999998</v>
      </c>
      <c r="U10" s="2">
        <f t="shared" si="2"/>
        <v>96.2</v>
      </c>
      <c r="V10" s="2">
        <f t="shared" si="3"/>
        <v>0</v>
      </c>
      <c r="W10" s="2">
        <f t="shared" si="5"/>
        <v>0</v>
      </c>
      <c r="X10" s="2">
        <f t="shared" si="6"/>
        <v>5.0999999999999996</v>
      </c>
      <c r="Y10" s="2">
        <f t="shared" si="7"/>
        <v>0</v>
      </c>
      <c r="Z10" s="2">
        <f t="shared" si="8"/>
        <v>0</v>
      </c>
      <c r="AA10" s="2">
        <v>119</v>
      </c>
      <c r="AB10" s="2">
        <v>73.95</v>
      </c>
      <c r="AC10" s="2">
        <f t="shared" si="9"/>
        <v>37.9</v>
      </c>
      <c r="AD10" s="2">
        <v>90</v>
      </c>
      <c r="AE10" s="2">
        <v>21</v>
      </c>
      <c r="AF10" t="s">
        <v>69</v>
      </c>
      <c r="AG10" s="16">
        <v>89.949999999999989</v>
      </c>
    </row>
    <row r="11" spans="1:34" x14ac:dyDescent="0.25">
      <c r="A11" s="8" t="s">
        <v>22</v>
      </c>
      <c r="B11" s="8" t="s">
        <v>23</v>
      </c>
      <c r="C11" s="8" t="s">
        <v>34</v>
      </c>
      <c r="D11" s="9" t="s">
        <v>35</v>
      </c>
      <c r="E11" s="1">
        <v>42417</v>
      </c>
      <c r="F11">
        <v>1</v>
      </c>
      <c r="G11" s="2">
        <v>586.4</v>
      </c>
      <c r="H11" s="2">
        <v>26</v>
      </c>
      <c r="I11" s="2">
        <v>20.8</v>
      </c>
      <c r="J11" s="2">
        <f t="shared" si="0"/>
        <v>1.25</v>
      </c>
      <c r="K11" s="2">
        <v>5</v>
      </c>
      <c r="L11" s="2" cm="1">
        <f t="array" ref="L11">_xlfn.IFS(K11=1,0.5,K11=2,5.5,K11=3,18,K11=4,38,K11=5,63,K11=6,88)</f>
        <v>63</v>
      </c>
      <c r="M11" s="2">
        <f t="shared" si="4"/>
        <v>2.16</v>
      </c>
      <c r="N11" s="2">
        <v>17.600000000000001</v>
      </c>
      <c r="O11" s="2">
        <v>4.4000000000000004</v>
      </c>
      <c r="P11" s="2">
        <v>0</v>
      </c>
      <c r="Q11" s="2">
        <v>4.4000000000000004</v>
      </c>
      <c r="R11" s="2">
        <v>0</v>
      </c>
      <c r="S11" s="2">
        <v>0</v>
      </c>
      <c r="T11" s="2">
        <f t="shared" si="1"/>
        <v>26.4</v>
      </c>
      <c r="U11" s="2">
        <f t="shared" si="2"/>
        <v>66.7</v>
      </c>
      <c r="V11" s="2">
        <f t="shared" si="3"/>
        <v>16.7</v>
      </c>
      <c r="W11" s="2">
        <f t="shared" si="5"/>
        <v>0</v>
      </c>
      <c r="X11" s="2">
        <f t="shared" si="6"/>
        <v>3.4</v>
      </c>
      <c r="Y11" s="2">
        <f t="shared" si="7"/>
        <v>0</v>
      </c>
      <c r="Z11" s="2">
        <f t="shared" si="8"/>
        <v>0</v>
      </c>
      <c r="AA11" s="2">
        <v>32.6</v>
      </c>
      <c r="AB11" s="2">
        <v>24.25</v>
      </c>
      <c r="AC11" s="2">
        <f t="shared" si="9"/>
        <v>25.6</v>
      </c>
      <c r="AD11" s="2">
        <v>50</v>
      </c>
      <c r="AE11" s="2">
        <v>26</v>
      </c>
      <c r="AF11" t="s">
        <v>36</v>
      </c>
      <c r="AG11" s="16">
        <v>32.949999999999989</v>
      </c>
    </row>
    <row r="12" spans="1:34" x14ac:dyDescent="0.25">
      <c r="A12" s="8" t="s">
        <v>22</v>
      </c>
      <c r="B12" s="8" t="s">
        <v>23</v>
      </c>
      <c r="C12" s="8" t="s">
        <v>34</v>
      </c>
      <c r="D12" s="9" t="s">
        <v>35</v>
      </c>
      <c r="E12" s="1">
        <v>42417</v>
      </c>
      <c r="F12">
        <v>2</v>
      </c>
      <c r="G12" s="2">
        <v>685.1</v>
      </c>
      <c r="H12" s="2">
        <v>35</v>
      </c>
      <c r="I12" s="2">
        <v>46.7</v>
      </c>
      <c r="J12" s="2">
        <f t="shared" si="0"/>
        <v>0.75</v>
      </c>
      <c r="K12" s="2">
        <v>5</v>
      </c>
      <c r="L12" s="2" cm="1">
        <f t="array" ref="L12">_xlfn.IFS(K12=1,0.5,K12=2,5.5,K12=3,18,K12=4,38,K12=5,63,K12=6,88)</f>
        <v>63</v>
      </c>
      <c r="M12" s="2">
        <f t="shared" si="4"/>
        <v>2.0499999999999998</v>
      </c>
      <c r="N12" s="2">
        <v>57</v>
      </c>
      <c r="O12" s="2">
        <v>6</v>
      </c>
      <c r="P12" s="2">
        <v>0</v>
      </c>
      <c r="Q12" s="2">
        <v>3.6</v>
      </c>
      <c r="R12" s="2">
        <v>0</v>
      </c>
      <c r="S12" s="2">
        <v>0</v>
      </c>
      <c r="T12" s="2">
        <f t="shared" si="1"/>
        <v>66.599999999999994</v>
      </c>
      <c r="U12" s="2">
        <f t="shared" si="2"/>
        <v>85.6</v>
      </c>
      <c r="V12" s="2">
        <f t="shared" si="3"/>
        <v>9</v>
      </c>
      <c r="W12" s="2">
        <f t="shared" si="5"/>
        <v>0</v>
      </c>
      <c r="X12" s="2">
        <f t="shared" si="6"/>
        <v>2.8</v>
      </c>
      <c r="Y12" s="2">
        <f t="shared" si="7"/>
        <v>0</v>
      </c>
      <c r="Z12" s="2">
        <f t="shared" si="8"/>
        <v>0</v>
      </c>
      <c r="AA12" s="2">
        <v>33.6</v>
      </c>
      <c r="AB12" s="2">
        <v>24.47</v>
      </c>
      <c r="AC12" s="2">
        <f t="shared" si="9"/>
        <v>27.2</v>
      </c>
      <c r="AD12" s="2">
        <v>74</v>
      </c>
      <c r="AE12" s="2">
        <v>29</v>
      </c>
      <c r="AF12" t="s">
        <v>37</v>
      </c>
      <c r="AG12" s="16">
        <v>28.949999999999989</v>
      </c>
    </row>
    <row r="13" spans="1:34" x14ac:dyDescent="0.25">
      <c r="A13" s="8" t="s">
        <v>22</v>
      </c>
      <c r="B13" s="8" t="s">
        <v>23</v>
      </c>
      <c r="C13" s="8" t="s">
        <v>34</v>
      </c>
      <c r="D13" s="9" t="s">
        <v>35</v>
      </c>
      <c r="E13" s="1">
        <v>42417</v>
      </c>
      <c r="F13">
        <v>3</v>
      </c>
      <c r="G13" s="2">
        <v>594.70000000000005</v>
      </c>
      <c r="H13" s="2">
        <v>18</v>
      </c>
      <c r="I13" s="2">
        <v>37.299999999999997</v>
      </c>
      <c r="J13" s="2">
        <f t="shared" si="0"/>
        <v>0.48</v>
      </c>
      <c r="K13" s="2">
        <v>4</v>
      </c>
      <c r="L13" s="2" cm="1">
        <f t="array" ref="L13">_xlfn.IFS(K13=1,0.5,K13=2,5.5,K13=3,18,K13=4,38,K13=5,63,K13=6,88)</f>
        <v>38</v>
      </c>
      <c r="M13" s="2">
        <f t="shared" si="4"/>
        <v>1.64</v>
      </c>
      <c r="N13" s="2">
        <v>19</v>
      </c>
      <c r="O13" s="2">
        <v>10.4</v>
      </c>
      <c r="P13" s="2">
        <v>0</v>
      </c>
      <c r="Q13" s="2">
        <v>5.4</v>
      </c>
      <c r="R13" s="2">
        <v>0</v>
      </c>
      <c r="S13" s="2">
        <v>0</v>
      </c>
      <c r="T13" s="2">
        <f t="shared" si="1"/>
        <v>34.799999999999997</v>
      </c>
      <c r="U13" s="2">
        <f t="shared" si="2"/>
        <v>54.6</v>
      </c>
      <c r="V13" s="2">
        <f t="shared" si="3"/>
        <v>29.9</v>
      </c>
      <c r="W13" s="2">
        <f t="shared" si="5"/>
        <v>0</v>
      </c>
      <c r="X13" s="2">
        <f t="shared" si="6"/>
        <v>4.2</v>
      </c>
      <c r="Y13" s="2">
        <f t="shared" si="7"/>
        <v>0</v>
      </c>
      <c r="Z13" s="2">
        <f t="shared" si="8"/>
        <v>0</v>
      </c>
      <c r="AA13" s="2">
        <v>30.8</v>
      </c>
      <c r="AB13" s="2">
        <v>21.5</v>
      </c>
      <c r="AC13" s="2">
        <f t="shared" si="9"/>
        <v>30.2</v>
      </c>
      <c r="AD13" s="2">
        <v>54</v>
      </c>
      <c r="AE13" s="2">
        <v>21</v>
      </c>
      <c r="AF13" t="s">
        <v>38</v>
      </c>
      <c r="AG13" s="16">
        <v>34.549999999999983</v>
      </c>
    </row>
    <row r="14" spans="1:34" x14ac:dyDescent="0.25">
      <c r="A14" s="8" t="s">
        <v>22</v>
      </c>
      <c r="B14" s="8" t="s">
        <v>23</v>
      </c>
      <c r="C14" s="8" t="s">
        <v>45</v>
      </c>
      <c r="D14" s="9" t="s">
        <v>46</v>
      </c>
      <c r="E14" s="1">
        <v>42417</v>
      </c>
      <c r="F14">
        <v>1</v>
      </c>
      <c r="G14" s="2">
        <v>800</v>
      </c>
      <c r="H14" s="2">
        <v>30</v>
      </c>
      <c r="I14" s="2">
        <v>20.79</v>
      </c>
      <c r="J14" s="2">
        <f t="shared" si="0"/>
        <v>1.44</v>
      </c>
      <c r="K14" s="2">
        <v>6</v>
      </c>
      <c r="L14" s="2" cm="1">
        <f t="array" ref="L14">_xlfn.IFS(K14=1,0.5,K14=2,5.5,K14=3,18,K14=4,38,K14=5,63,K14=6,88)</f>
        <v>88</v>
      </c>
      <c r="M14" s="2">
        <f t="shared" si="4"/>
        <v>2.68</v>
      </c>
      <c r="N14" s="2">
        <v>10.8</v>
      </c>
      <c r="O14" s="2">
        <v>0</v>
      </c>
      <c r="P14" s="2">
        <v>0</v>
      </c>
      <c r="Q14" s="2">
        <v>6.2</v>
      </c>
      <c r="R14" s="2">
        <v>0</v>
      </c>
      <c r="S14" s="2">
        <v>0</v>
      </c>
      <c r="T14" s="2">
        <f t="shared" si="1"/>
        <v>17</v>
      </c>
      <c r="U14" s="2">
        <f t="shared" si="2"/>
        <v>63.5</v>
      </c>
      <c r="V14" s="2">
        <f t="shared" si="3"/>
        <v>0</v>
      </c>
      <c r="W14" s="2">
        <f t="shared" si="5"/>
        <v>0</v>
      </c>
      <c r="X14" s="2">
        <f t="shared" si="6"/>
        <v>4.8</v>
      </c>
      <c r="Y14" s="2">
        <f t="shared" si="7"/>
        <v>0</v>
      </c>
      <c r="Z14" s="2">
        <f t="shared" si="8"/>
        <v>0</v>
      </c>
      <c r="AA14" s="2">
        <v>51.4</v>
      </c>
      <c r="AB14" s="2">
        <v>33.880000000000003</v>
      </c>
      <c r="AC14" s="2">
        <f t="shared" si="9"/>
        <v>34.1</v>
      </c>
      <c r="AD14" s="2">
        <v>85</v>
      </c>
      <c r="AE14" s="2">
        <v>17.5</v>
      </c>
      <c r="AF14" t="s">
        <v>47</v>
      </c>
      <c r="AG14" s="16">
        <v>48.75</v>
      </c>
    </row>
    <row r="15" spans="1:34" x14ac:dyDescent="0.25">
      <c r="A15" s="8" t="s">
        <v>22</v>
      </c>
      <c r="B15" s="8" t="s">
        <v>23</v>
      </c>
      <c r="C15" s="8" t="s">
        <v>45</v>
      </c>
      <c r="D15" s="9" t="s">
        <v>46</v>
      </c>
      <c r="E15" s="1">
        <v>42417</v>
      </c>
      <c r="F15">
        <v>2</v>
      </c>
      <c r="G15" s="2">
        <v>713.1</v>
      </c>
      <c r="H15" s="2">
        <v>22</v>
      </c>
      <c r="I15" s="2">
        <v>21</v>
      </c>
      <c r="J15" s="2">
        <f t="shared" si="0"/>
        <v>1.05</v>
      </c>
      <c r="K15" s="2">
        <v>5</v>
      </c>
      <c r="L15" s="2" cm="1">
        <f t="array" ref="L15">_xlfn.IFS(K15=1,0.5,K15=2,5.5,K15=3,18,K15=4,38,K15=5,63,K15=6,88)</f>
        <v>63</v>
      </c>
      <c r="M15" s="2">
        <f t="shared" si="4"/>
        <v>2.2200000000000002</v>
      </c>
      <c r="N15" s="2">
        <v>16.8</v>
      </c>
      <c r="O15" s="2">
        <v>3.6</v>
      </c>
      <c r="P15" s="2">
        <v>0</v>
      </c>
      <c r="Q15" s="2">
        <v>16</v>
      </c>
      <c r="R15" s="2">
        <v>0</v>
      </c>
      <c r="S15" s="2">
        <v>0</v>
      </c>
      <c r="T15" s="2">
        <f t="shared" si="1"/>
        <v>36.400000000000006</v>
      </c>
      <c r="U15" s="2">
        <f t="shared" si="2"/>
        <v>46.2</v>
      </c>
      <c r="V15" s="2">
        <f t="shared" si="3"/>
        <v>9.9</v>
      </c>
      <c r="W15" s="2">
        <f t="shared" si="5"/>
        <v>0</v>
      </c>
      <c r="X15" s="2">
        <f t="shared" si="6"/>
        <v>12.4</v>
      </c>
      <c r="Y15" s="2">
        <f t="shared" si="7"/>
        <v>0</v>
      </c>
      <c r="Z15" s="2">
        <f t="shared" si="8"/>
        <v>0</v>
      </c>
      <c r="AA15" s="2">
        <v>45.8</v>
      </c>
      <c r="AB15" s="2">
        <v>32.840000000000003</v>
      </c>
      <c r="AC15" s="2">
        <f t="shared" si="9"/>
        <v>28.3</v>
      </c>
      <c r="AD15" s="2">
        <v>60</v>
      </c>
      <c r="AE15" s="2">
        <v>17</v>
      </c>
      <c r="AF15" t="s">
        <v>48</v>
      </c>
      <c r="AG15" s="16">
        <v>53.933333333333337</v>
      </c>
    </row>
    <row r="16" spans="1:34" x14ac:dyDescent="0.25">
      <c r="A16" s="8" t="s">
        <v>22</v>
      </c>
      <c r="B16" s="8" t="s">
        <v>23</v>
      </c>
      <c r="C16" s="8" t="s">
        <v>45</v>
      </c>
      <c r="D16" s="9" t="s">
        <v>46</v>
      </c>
      <c r="E16" s="1">
        <v>42417</v>
      </c>
      <c r="F16">
        <v>3</v>
      </c>
      <c r="G16" s="2">
        <v>800</v>
      </c>
      <c r="H16" s="2">
        <v>33</v>
      </c>
      <c r="I16" s="2">
        <v>31.2</v>
      </c>
      <c r="J16" s="2">
        <f t="shared" si="0"/>
        <v>1.06</v>
      </c>
      <c r="K16" s="2">
        <v>6</v>
      </c>
      <c r="L16" s="2" cm="1">
        <f t="array" ref="L16">_xlfn.IFS(K16=1,0.5,K16=2,5.5,K16=3,18,K16=4,38,K16=5,63,K16=6,88)</f>
        <v>88</v>
      </c>
      <c r="M16" s="2">
        <f t="shared" si="4"/>
        <v>2.5</v>
      </c>
      <c r="N16" s="2">
        <v>24.4</v>
      </c>
      <c r="O16" s="2">
        <v>0</v>
      </c>
      <c r="P16" s="2">
        <v>0</v>
      </c>
      <c r="Q16" s="2">
        <v>7</v>
      </c>
      <c r="R16" s="2">
        <v>0</v>
      </c>
      <c r="S16" s="2">
        <v>0</v>
      </c>
      <c r="T16" s="2">
        <f t="shared" si="1"/>
        <v>31.4</v>
      </c>
      <c r="U16" s="2">
        <f t="shared" si="2"/>
        <v>77.7</v>
      </c>
      <c r="V16" s="2">
        <f t="shared" si="3"/>
        <v>0</v>
      </c>
      <c r="W16" s="2">
        <f t="shared" si="5"/>
        <v>0</v>
      </c>
      <c r="X16" s="2">
        <f t="shared" si="6"/>
        <v>5.4</v>
      </c>
      <c r="Y16" s="2">
        <f t="shared" si="7"/>
        <v>0</v>
      </c>
      <c r="Z16" s="2">
        <f t="shared" si="8"/>
        <v>0</v>
      </c>
      <c r="AA16" s="2">
        <v>58.8</v>
      </c>
      <c r="AB16" s="2">
        <v>49.38</v>
      </c>
      <c r="AC16" s="2">
        <f t="shared" si="9"/>
        <v>16</v>
      </c>
      <c r="AD16" s="2">
        <v>51</v>
      </c>
      <c r="AE16" s="2">
        <v>15.5</v>
      </c>
      <c r="AF16" t="s">
        <v>49</v>
      </c>
      <c r="AG16" s="16">
        <v>91.949999999999989</v>
      </c>
    </row>
    <row r="17" spans="1:34" x14ac:dyDescent="0.25">
      <c r="A17" s="8" t="s">
        <v>22</v>
      </c>
      <c r="B17" s="8" t="s">
        <v>23</v>
      </c>
      <c r="C17" s="8" t="s">
        <v>60</v>
      </c>
      <c r="D17" s="9" t="s">
        <v>61</v>
      </c>
      <c r="E17" s="1">
        <v>42417</v>
      </c>
      <c r="F17">
        <v>1</v>
      </c>
      <c r="G17" s="2">
        <v>789.3</v>
      </c>
      <c r="H17" s="2">
        <v>13</v>
      </c>
      <c r="I17" s="2">
        <v>18.5</v>
      </c>
      <c r="J17" s="2">
        <f t="shared" si="0"/>
        <v>0.7</v>
      </c>
      <c r="K17" s="2">
        <v>6</v>
      </c>
      <c r="L17" s="2" cm="1">
        <f t="array" ref="L17">_xlfn.IFS(K17=1,0.5,K17=2,5.5,K17=3,18,K17=4,38,K17=5,63,K17=6,88)</f>
        <v>88</v>
      </c>
      <c r="M17" s="2">
        <f t="shared" si="4"/>
        <v>2.3199999999999998</v>
      </c>
      <c r="N17" s="2">
        <v>34.200000000000003</v>
      </c>
      <c r="O17" s="2">
        <v>7.2</v>
      </c>
      <c r="P17" s="2">
        <v>0</v>
      </c>
      <c r="Q17" s="2">
        <v>0.4</v>
      </c>
      <c r="R17" s="2">
        <v>0</v>
      </c>
      <c r="S17" s="2">
        <v>0</v>
      </c>
      <c r="T17" s="2">
        <f t="shared" si="1"/>
        <v>41.800000000000004</v>
      </c>
      <c r="U17" s="2">
        <f t="shared" si="2"/>
        <v>81.8</v>
      </c>
      <c r="V17" s="2">
        <f t="shared" si="3"/>
        <v>17.2</v>
      </c>
      <c r="W17" s="2">
        <f t="shared" si="5"/>
        <v>0</v>
      </c>
      <c r="X17" s="2">
        <f t="shared" si="6"/>
        <v>0.3</v>
      </c>
      <c r="Y17" s="2">
        <f t="shared" si="7"/>
        <v>0</v>
      </c>
      <c r="Z17" s="2">
        <f t="shared" si="8"/>
        <v>0</v>
      </c>
      <c r="AA17" s="2">
        <v>34</v>
      </c>
      <c r="AB17" s="2">
        <v>22.9</v>
      </c>
      <c r="AC17" s="2">
        <f t="shared" si="9"/>
        <v>32.6</v>
      </c>
      <c r="AD17" s="2">
        <v>34</v>
      </c>
      <c r="AE17" s="2">
        <v>15</v>
      </c>
      <c r="AF17" t="s">
        <v>62</v>
      </c>
      <c r="AG17" s="16">
        <v>23.549999999999983</v>
      </c>
    </row>
    <row r="18" spans="1:34" x14ac:dyDescent="0.25">
      <c r="A18" s="8" t="s">
        <v>22</v>
      </c>
      <c r="B18" s="8" t="s">
        <v>23</v>
      </c>
      <c r="C18" s="8" t="s">
        <v>60</v>
      </c>
      <c r="D18" s="9" t="s">
        <v>61</v>
      </c>
      <c r="E18" s="1">
        <v>42417</v>
      </c>
      <c r="F18">
        <v>2</v>
      </c>
      <c r="G18" s="2">
        <v>406.5</v>
      </c>
      <c r="H18" s="2">
        <v>14</v>
      </c>
      <c r="I18" s="2">
        <v>12.4</v>
      </c>
      <c r="J18" s="2">
        <f t="shared" si="0"/>
        <v>1.1299999999999999</v>
      </c>
      <c r="K18" s="2">
        <v>4</v>
      </c>
      <c r="L18" s="2" cm="1">
        <f t="array" ref="L18">_xlfn.IFS(K18=1,0.5,K18=2,5.5,K18=3,18,K18=4,38,K18=5,63,K18=6,88)</f>
        <v>38</v>
      </c>
      <c r="M18" s="2">
        <f t="shared" si="4"/>
        <v>1.71</v>
      </c>
      <c r="N18" s="2">
        <v>21.6</v>
      </c>
      <c r="O18" s="2">
        <v>2.6</v>
      </c>
      <c r="P18" s="2">
        <v>0</v>
      </c>
      <c r="Q18" s="2">
        <v>0</v>
      </c>
      <c r="R18" s="2">
        <v>0</v>
      </c>
      <c r="S18" s="2">
        <v>0</v>
      </c>
      <c r="T18" s="2">
        <f t="shared" si="1"/>
        <v>24.200000000000003</v>
      </c>
      <c r="U18" s="2">
        <f t="shared" si="2"/>
        <v>89.3</v>
      </c>
      <c r="V18" s="2">
        <f t="shared" si="3"/>
        <v>10.7</v>
      </c>
      <c r="W18" s="2">
        <f t="shared" si="5"/>
        <v>0</v>
      </c>
      <c r="X18" s="2">
        <f t="shared" si="6"/>
        <v>0</v>
      </c>
      <c r="Y18" s="2">
        <f t="shared" si="7"/>
        <v>0</v>
      </c>
      <c r="Z18" s="2">
        <f t="shared" si="8"/>
        <v>0</v>
      </c>
      <c r="AA18" s="2">
        <v>37.4</v>
      </c>
      <c r="AB18" s="2">
        <v>25.67</v>
      </c>
      <c r="AC18" s="2">
        <f t="shared" si="9"/>
        <v>31.4</v>
      </c>
      <c r="AD18" s="2">
        <v>43</v>
      </c>
      <c r="AE18" s="2">
        <v>20</v>
      </c>
      <c r="AF18" t="s">
        <v>63</v>
      </c>
      <c r="AG18" s="16">
        <v>24.75</v>
      </c>
    </row>
    <row r="19" spans="1:34" x14ac:dyDescent="0.25">
      <c r="A19" s="8" t="s">
        <v>22</v>
      </c>
      <c r="B19" s="8" t="s">
        <v>23</v>
      </c>
      <c r="C19" s="8" t="s">
        <v>60</v>
      </c>
      <c r="D19" s="9" t="s">
        <v>61</v>
      </c>
      <c r="E19" s="1">
        <v>42417</v>
      </c>
      <c r="F19">
        <v>3</v>
      </c>
      <c r="G19" s="2">
        <v>619.5</v>
      </c>
      <c r="H19" s="2">
        <v>21</v>
      </c>
      <c r="I19" s="2">
        <v>25</v>
      </c>
      <c r="J19" s="2">
        <f t="shared" si="0"/>
        <v>0.84</v>
      </c>
      <c r="K19" s="2">
        <v>5</v>
      </c>
      <c r="L19" s="2" cm="1">
        <f t="array" ref="L19">_xlfn.IFS(K19=1,0.5,K19=2,5.5,K19=3,18,K19=4,38,K19=5,63,K19=6,88)</f>
        <v>63</v>
      </c>
      <c r="M19" s="2">
        <f t="shared" si="4"/>
        <v>2.0099999999999998</v>
      </c>
      <c r="N19" s="2">
        <v>33</v>
      </c>
      <c r="O19" s="2">
        <v>2.4</v>
      </c>
      <c r="P19" s="2">
        <v>1.4</v>
      </c>
      <c r="Q19" s="2">
        <v>0.4</v>
      </c>
      <c r="R19" s="2">
        <v>0</v>
      </c>
      <c r="S19" s="2">
        <v>0</v>
      </c>
      <c r="T19" s="2">
        <f t="shared" si="1"/>
        <v>37.199999999999996</v>
      </c>
      <c r="U19" s="2">
        <f t="shared" si="2"/>
        <v>88.7</v>
      </c>
      <c r="V19" s="2">
        <f t="shared" si="3"/>
        <v>6.5</v>
      </c>
      <c r="W19" s="2">
        <f t="shared" si="5"/>
        <v>3.8</v>
      </c>
      <c r="X19" s="2">
        <f t="shared" si="6"/>
        <v>0.3</v>
      </c>
      <c r="Y19" s="2">
        <f t="shared" si="7"/>
        <v>0</v>
      </c>
      <c r="Z19" s="2">
        <f t="shared" si="8"/>
        <v>0</v>
      </c>
      <c r="AA19" s="2">
        <v>38.4</v>
      </c>
      <c r="AB19" s="2">
        <v>24.05</v>
      </c>
      <c r="AC19" s="2">
        <f t="shared" si="9"/>
        <v>37.4</v>
      </c>
      <c r="AD19" s="2">
        <v>44</v>
      </c>
      <c r="AE19" s="2">
        <v>22</v>
      </c>
      <c r="AF19" t="s">
        <v>64</v>
      </c>
      <c r="AG19" s="16">
        <v>26.349999999999994</v>
      </c>
    </row>
    <row r="20" spans="1:34" x14ac:dyDescent="0.25">
      <c r="A20" s="8" t="s">
        <v>22</v>
      </c>
      <c r="B20" s="8" t="s">
        <v>23</v>
      </c>
      <c r="C20" s="8" t="s">
        <v>29</v>
      </c>
      <c r="D20" s="9" t="s">
        <v>30</v>
      </c>
      <c r="E20" s="1">
        <v>42417</v>
      </c>
      <c r="F20">
        <v>1</v>
      </c>
      <c r="G20" s="2">
        <v>477.2</v>
      </c>
      <c r="H20" s="2">
        <v>20</v>
      </c>
      <c r="I20" s="2">
        <v>12.3</v>
      </c>
      <c r="J20" s="2">
        <f t="shared" si="0"/>
        <v>1.63</v>
      </c>
      <c r="K20" s="2">
        <v>3</v>
      </c>
      <c r="L20" s="2" cm="1">
        <f t="array" ref="L20">_xlfn.IFS(K20=1,0.5,K20=2,5.5,K20=3,18,K20=4,38,K20=5,63,K20=6,88)</f>
        <v>18</v>
      </c>
      <c r="M20" s="2">
        <f t="shared" si="4"/>
        <v>1.87</v>
      </c>
      <c r="N20" s="2">
        <v>33.6</v>
      </c>
      <c r="O20" s="2">
        <v>6.6</v>
      </c>
      <c r="P20" s="2">
        <v>0</v>
      </c>
      <c r="Q20" s="2">
        <v>4.8</v>
      </c>
      <c r="R20" s="2">
        <v>0</v>
      </c>
      <c r="S20" s="2">
        <v>0</v>
      </c>
      <c r="T20" s="2">
        <f t="shared" si="1"/>
        <v>45</v>
      </c>
      <c r="U20" s="2">
        <f t="shared" si="2"/>
        <v>74.7</v>
      </c>
      <c r="V20" s="2">
        <f t="shared" si="3"/>
        <v>14.7</v>
      </c>
      <c r="W20" s="2">
        <f t="shared" si="5"/>
        <v>0</v>
      </c>
      <c r="X20" s="2">
        <f t="shared" si="6"/>
        <v>3.7</v>
      </c>
      <c r="Y20" s="2">
        <f t="shared" si="7"/>
        <v>0</v>
      </c>
      <c r="Z20" s="2">
        <f t="shared" si="8"/>
        <v>0</v>
      </c>
      <c r="AA20" s="2">
        <v>60.8</v>
      </c>
      <c r="AB20" s="2">
        <v>35.4</v>
      </c>
      <c r="AC20" s="2">
        <f t="shared" si="9"/>
        <v>41.8</v>
      </c>
      <c r="AD20" s="2">
        <v>43</v>
      </c>
      <c r="AE20" s="2">
        <v>18</v>
      </c>
      <c r="AF20" t="s">
        <v>31</v>
      </c>
      <c r="AG20" s="16">
        <v>52.349999999999994</v>
      </c>
    </row>
    <row r="21" spans="1:34" x14ac:dyDescent="0.25">
      <c r="A21" s="8" t="s">
        <v>22</v>
      </c>
      <c r="B21" s="8" t="s">
        <v>23</v>
      </c>
      <c r="C21" s="8" t="s">
        <v>29</v>
      </c>
      <c r="D21" s="9" t="s">
        <v>30</v>
      </c>
      <c r="E21" s="1">
        <v>42417</v>
      </c>
      <c r="F21">
        <v>2</v>
      </c>
      <c r="G21" s="2">
        <v>327.9</v>
      </c>
      <c r="H21" s="2">
        <v>6</v>
      </c>
      <c r="I21" s="2">
        <v>11</v>
      </c>
      <c r="J21" s="2">
        <f t="shared" si="0"/>
        <v>0.55000000000000004</v>
      </c>
      <c r="K21" s="2">
        <v>2</v>
      </c>
      <c r="L21" s="2" cm="1">
        <f t="array" ref="L21">_xlfn.IFS(K21=1,0.5,K21=2,5.5,K21=3,18,K21=4,38,K21=5,63,K21=6,88)</f>
        <v>5.5</v>
      </c>
      <c r="M21" s="2">
        <f t="shared" si="4"/>
        <v>1</v>
      </c>
      <c r="N21" s="2">
        <v>75.400000000000006</v>
      </c>
      <c r="O21" s="2">
        <v>4.4000000000000004</v>
      </c>
      <c r="P21" s="2">
        <v>25.2</v>
      </c>
      <c r="Q21" s="2">
        <v>20.399999999999999</v>
      </c>
      <c r="R21" s="2">
        <v>0</v>
      </c>
      <c r="S21" s="2">
        <v>0</v>
      </c>
      <c r="T21" s="2">
        <f t="shared" si="1"/>
        <v>125.4</v>
      </c>
      <c r="U21" s="2">
        <f t="shared" si="2"/>
        <v>60.1</v>
      </c>
      <c r="V21" s="2">
        <f t="shared" si="3"/>
        <v>3.5</v>
      </c>
      <c r="W21" s="2">
        <f t="shared" si="5"/>
        <v>20.100000000000001</v>
      </c>
      <c r="X21" s="2">
        <f t="shared" si="6"/>
        <v>15.8</v>
      </c>
      <c r="Y21" s="2">
        <f t="shared" si="7"/>
        <v>0</v>
      </c>
      <c r="Z21" s="2">
        <f t="shared" si="8"/>
        <v>0</v>
      </c>
      <c r="AA21" s="2">
        <v>45</v>
      </c>
      <c r="AB21" s="2">
        <v>25.9</v>
      </c>
      <c r="AC21" s="2">
        <f t="shared" si="9"/>
        <v>42.4</v>
      </c>
      <c r="AD21" s="2">
        <v>39</v>
      </c>
      <c r="AE21" s="2">
        <v>15</v>
      </c>
      <c r="AF21" t="s">
        <v>32</v>
      </c>
      <c r="AG21" s="16">
        <v>76.97</v>
      </c>
    </row>
    <row r="22" spans="1:34" x14ac:dyDescent="0.25">
      <c r="A22" s="8" t="s">
        <v>22</v>
      </c>
      <c r="B22" s="8" t="s">
        <v>23</v>
      </c>
      <c r="C22" s="8" t="s">
        <v>29</v>
      </c>
      <c r="D22" s="9" t="s">
        <v>30</v>
      </c>
      <c r="E22" s="1">
        <v>42417</v>
      </c>
      <c r="F22">
        <v>3</v>
      </c>
      <c r="G22" s="2">
        <v>542.70000000000005</v>
      </c>
      <c r="H22" s="2">
        <v>23</v>
      </c>
      <c r="I22" s="2">
        <v>11.8</v>
      </c>
      <c r="J22" s="2">
        <f t="shared" si="0"/>
        <v>1.95</v>
      </c>
      <c r="K22" s="2">
        <v>3</v>
      </c>
      <c r="L22" s="2" cm="1">
        <f t="array" ref="L22">_xlfn.IFS(K22=1,0.5,K22=2,5.5,K22=3,18,K22=4,38,K22=5,63,K22=6,88)</f>
        <v>18</v>
      </c>
      <c r="M22" s="2">
        <f t="shared" si="4"/>
        <v>2.1</v>
      </c>
      <c r="N22" s="2">
        <v>15.6</v>
      </c>
      <c r="O22" s="2">
        <v>4.2</v>
      </c>
      <c r="P22" s="2">
        <v>0</v>
      </c>
      <c r="Q22" s="2">
        <v>3.2</v>
      </c>
      <c r="R22" s="2">
        <v>0</v>
      </c>
      <c r="S22" s="2">
        <v>0</v>
      </c>
      <c r="T22" s="2">
        <f t="shared" si="1"/>
        <v>23</v>
      </c>
      <c r="U22" s="2">
        <f t="shared" si="2"/>
        <v>67.8</v>
      </c>
      <c r="V22" s="2">
        <f t="shared" si="3"/>
        <v>18.3</v>
      </c>
      <c r="W22" s="2">
        <f t="shared" si="5"/>
        <v>0</v>
      </c>
      <c r="X22" s="2">
        <f t="shared" si="6"/>
        <v>2.5</v>
      </c>
      <c r="Y22" s="2">
        <f t="shared" si="7"/>
        <v>0</v>
      </c>
      <c r="Z22" s="2">
        <f t="shared" si="8"/>
        <v>0</v>
      </c>
      <c r="AA22" s="2">
        <v>39.799999999999997</v>
      </c>
      <c r="AB22" s="2">
        <v>27.52</v>
      </c>
      <c r="AC22" s="2">
        <f t="shared" si="9"/>
        <v>30.9</v>
      </c>
      <c r="AD22" s="2">
        <v>45.5</v>
      </c>
      <c r="AE22" s="2">
        <v>11</v>
      </c>
      <c r="AF22" t="s">
        <v>33</v>
      </c>
      <c r="AG22" s="16">
        <v>39.150000000000006</v>
      </c>
    </row>
    <row r="23" spans="1:34" x14ac:dyDescent="0.25">
      <c r="A23" s="8" t="s">
        <v>22</v>
      </c>
      <c r="B23" s="8" t="s">
        <v>23</v>
      </c>
      <c r="C23" s="8" t="s">
        <v>70</v>
      </c>
      <c r="D23" s="9" t="s">
        <v>71</v>
      </c>
      <c r="E23" s="1">
        <v>42417</v>
      </c>
      <c r="F23">
        <v>1</v>
      </c>
      <c r="G23" s="2">
        <v>648.20000000000005</v>
      </c>
      <c r="H23" s="2">
        <v>21</v>
      </c>
      <c r="I23" s="2">
        <v>23.6</v>
      </c>
      <c r="J23" s="2">
        <f t="shared" si="0"/>
        <v>0.89</v>
      </c>
      <c r="K23" s="2">
        <v>5</v>
      </c>
      <c r="L23" s="2" cm="1">
        <f t="array" ref="L23">_xlfn.IFS(K23=1,0.5,K23=2,5.5,K23=3,18,K23=4,38,K23=5,63,K23=6,88)</f>
        <v>63</v>
      </c>
      <c r="M23" s="2">
        <f t="shared" si="4"/>
        <v>2.0699999999999998</v>
      </c>
      <c r="N23" s="2">
        <v>123.6</v>
      </c>
      <c r="O23" s="2">
        <v>19.399999999999999</v>
      </c>
      <c r="P23" s="2">
        <v>17.8</v>
      </c>
      <c r="Q23" s="2">
        <v>10.6</v>
      </c>
      <c r="R23" s="2">
        <v>0</v>
      </c>
      <c r="S23" s="2">
        <v>0</v>
      </c>
      <c r="T23" s="2">
        <f t="shared" si="1"/>
        <v>171.4</v>
      </c>
      <c r="U23" s="2">
        <f t="shared" si="2"/>
        <v>72.099999999999994</v>
      </c>
      <c r="V23" s="2">
        <f t="shared" si="3"/>
        <v>11.3</v>
      </c>
      <c r="W23" s="2">
        <f t="shared" si="5"/>
        <v>10.4</v>
      </c>
      <c r="X23" s="2">
        <f t="shared" si="6"/>
        <v>8.1999999999999993</v>
      </c>
      <c r="Y23" s="2">
        <f t="shared" si="7"/>
        <v>0</v>
      </c>
      <c r="Z23" s="2">
        <f t="shared" si="8"/>
        <v>0</v>
      </c>
      <c r="AA23" s="2">
        <v>59.2</v>
      </c>
      <c r="AB23" s="2">
        <v>30.7</v>
      </c>
      <c r="AC23" s="2">
        <f t="shared" si="9"/>
        <v>48.1</v>
      </c>
      <c r="AD23" s="2">
        <v>36</v>
      </c>
      <c r="AE23" s="2">
        <v>28</v>
      </c>
      <c r="AF23" t="s">
        <v>72</v>
      </c>
      <c r="AG23" s="16">
        <v>61.75</v>
      </c>
    </row>
    <row r="24" spans="1:34" x14ac:dyDescent="0.25">
      <c r="A24" s="8" t="s">
        <v>22</v>
      </c>
      <c r="B24" s="8" t="s">
        <v>23</v>
      </c>
      <c r="C24" s="8" t="s">
        <v>70</v>
      </c>
      <c r="D24" s="9" t="s">
        <v>71</v>
      </c>
      <c r="E24" s="1">
        <v>42417</v>
      </c>
      <c r="F24">
        <v>2</v>
      </c>
      <c r="G24" s="2">
        <v>676.9</v>
      </c>
      <c r="H24" s="2">
        <v>12</v>
      </c>
      <c r="I24" s="2">
        <v>5.8</v>
      </c>
      <c r="J24" s="2">
        <f t="shared" si="0"/>
        <v>2.0699999999999998</v>
      </c>
      <c r="K24" s="2">
        <v>3</v>
      </c>
      <c r="L24" s="2" cm="1">
        <f t="array" ref="L24">_xlfn.IFS(K24=1,0.5,K24=2,5.5,K24=3,18,K24=4,38,K24=5,63,K24=6,88)</f>
        <v>18</v>
      </c>
      <c r="M24" s="2">
        <f t="shared" si="4"/>
        <v>2.33</v>
      </c>
      <c r="N24" s="2">
        <v>69</v>
      </c>
      <c r="O24" s="2">
        <v>10.4</v>
      </c>
      <c r="P24" s="2">
        <v>5.8</v>
      </c>
      <c r="Q24" s="2">
        <v>8.4</v>
      </c>
      <c r="R24" s="2">
        <v>0</v>
      </c>
      <c r="S24" s="2">
        <v>0</v>
      </c>
      <c r="T24" s="2">
        <f t="shared" si="1"/>
        <v>93.600000000000009</v>
      </c>
      <c r="U24" s="2">
        <f t="shared" si="2"/>
        <v>73.7</v>
      </c>
      <c r="V24" s="2">
        <f t="shared" si="3"/>
        <v>11.1</v>
      </c>
      <c r="W24" s="2">
        <f t="shared" si="5"/>
        <v>6.2</v>
      </c>
      <c r="X24" s="2">
        <f t="shared" si="6"/>
        <v>6.5</v>
      </c>
      <c r="Y24" s="2">
        <f t="shared" si="7"/>
        <v>0</v>
      </c>
      <c r="Z24" s="2">
        <f t="shared" si="8"/>
        <v>0</v>
      </c>
      <c r="AA24" s="2">
        <v>83.6</v>
      </c>
      <c r="AB24" s="2">
        <v>52.32</v>
      </c>
      <c r="AC24" s="2">
        <f t="shared" si="9"/>
        <v>37.4</v>
      </c>
      <c r="AD24" s="2">
        <v>56</v>
      </c>
      <c r="AE24" s="2">
        <v>39</v>
      </c>
      <c r="AF24" t="s">
        <v>73</v>
      </c>
      <c r="AG24" s="16">
        <v>108.54999999999998</v>
      </c>
    </row>
    <row r="25" spans="1:34" x14ac:dyDescent="0.25">
      <c r="A25" s="8" t="s">
        <v>22</v>
      </c>
      <c r="B25" s="8" t="s">
        <v>23</v>
      </c>
      <c r="C25" s="8" t="s">
        <v>70</v>
      </c>
      <c r="D25" s="9" t="s">
        <v>71</v>
      </c>
      <c r="E25" s="1">
        <v>42417</v>
      </c>
      <c r="F25">
        <v>3</v>
      </c>
      <c r="G25" s="2">
        <v>778.3</v>
      </c>
      <c r="H25" s="2">
        <v>25</v>
      </c>
      <c r="I25" s="2">
        <v>14.8</v>
      </c>
      <c r="J25" s="2">
        <f t="shared" si="0"/>
        <v>1.69</v>
      </c>
      <c r="K25" s="2">
        <v>4</v>
      </c>
      <c r="L25" s="2" cm="1">
        <f t="array" ref="L25">_xlfn.IFS(K25=1,0.5,K25=2,5.5,K25=3,18,K25=4,38,K25=5,63,K25=6,88)</f>
        <v>38</v>
      </c>
      <c r="M25" s="2">
        <f t="shared" si="4"/>
        <v>2.44</v>
      </c>
      <c r="N25" s="2">
        <v>21.6</v>
      </c>
      <c r="O25" s="2">
        <v>4.5999999999999996</v>
      </c>
      <c r="P25" s="2">
        <v>0</v>
      </c>
      <c r="Q25" s="2">
        <v>3.4</v>
      </c>
      <c r="R25" s="2">
        <v>0</v>
      </c>
      <c r="S25" s="2">
        <v>0</v>
      </c>
      <c r="T25" s="2">
        <f t="shared" si="1"/>
        <v>29.6</v>
      </c>
      <c r="U25" s="2">
        <f t="shared" si="2"/>
        <v>73</v>
      </c>
      <c r="V25" s="2">
        <f t="shared" si="3"/>
        <v>15.5</v>
      </c>
      <c r="W25" s="2">
        <f t="shared" si="5"/>
        <v>0</v>
      </c>
      <c r="X25" s="2">
        <f t="shared" si="6"/>
        <v>2.6</v>
      </c>
      <c r="Y25" s="2">
        <f t="shared" si="7"/>
        <v>0</v>
      </c>
      <c r="Z25" s="2">
        <f t="shared" si="8"/>
        <v>0</v>
      </c>
      <c r="AA25" s="2">
        <v>158.4</v>
      </c>
      <c r="AB25" s="2">
        <v>88.84</v>
      </c>
      <c r="AC25" s="2">
        <f t="shared" si="9"/>
        <v>43.9</v>
      </c>
      <c r="AD25" s="2">
        <v>42</v>
      </c>
      <c r="AE25" s="2">
        <v>40</v>
      </c>
      <c r="AF25" t="s">
        <v>74</v>
      </c>
      <c r="AG25" s="16">
        <v>343.54999999999995</v>
      </c>
    </row>
    <row r="26" spans="1:34" x14ac:dyDescent="0.25">
      <c r="A26" s="8" t="s">
        <v>22</v>
      </c>
      <c r="B26" s="8" t="s">
        <v>23</v>
      </c>
      <c r="C26" s="8" t="s">
        <v>50</v>
      </c>
      <c r="D26" s="9" t="s">
        <v>51</v>
      </c>
      <c r="E26" s="1">
        <v>42417</v>
      </c>
      <c r="F26">
        <v>1</v>
      </c>
      <c r="G26" s="2">
        <v>736.4</v>
      </c>
      <c r="H26" s="2">
        <v>17.5</v>
      </c>
      <c r="I26" s="2">
        <v>86.9</v>
      </c>
      <c r="J26" s="2">
        <f t="shared" si="0"/>
        <v>0.2</v>
      </c>
      <c r="K26" s="2">
        <v>5</v>
      </c>
      <c r="L26" s="2" cm="1">
        <f t="array" ref="L26">_xlfn.IFS(K26=1,0.5,K26=2,5.5,K26=3,18,K26=4,38,K26=5,63,K26=6,88)</f>
        <v>63</v>
      </c>
      <c r="M26" s="2">
        <f t="shared" si="4"/>
        <v>1.85</v>
      </c>
      <c r="N26" s="2">
        <v>87.4</v>
      </c>
      <c r="O26" s="2">
        <v>4.2</v>
      </c>
      <c r="P26" s="2">
        <v>24.8</v>
      </c>
      <c r="Q26" s="2">
        <v>7.6</v>
      </c>
      <c r="R26" s="2">
        <v>0</v>
      </c>
      <c r="S26" s="2">
        <v>0</v>
      </c>
      <c r="T26" s="2">
        <f t="shared" si="1"/>
        <v>124</v>
      </c>
      <c r="U26" s="2">
        <f t="shared" si="2"/>
        <v>70.5</v>
      </c>
      <c r="V26" s="2">
        <f t="shared" si="3"/>
        <v>3.4</v>
      </c>
      <c r="W26" s="2">
        <f t="shared" si="5"/>
        <v>20</v>
      </c>
      <c r="X26" s="2">
        <f t="shared" si="6"/>
        <v>5.9</v>
      </c>
      <c r="Y26" s="2">
        <f t="shared" si="7"/>
        <v>0</v>
      </c>
      <c r="Z26" s="2">
        <f t="shared" si="8"/>
        <v>0</v>
      </c>
      <c r="AA26" s="2">
        <v>167</v>
      </c>
      <c r="AB26" s="2">
        <v>81.59</v>
      </c>
      <c r="AC26" s="2">
        <f t="shared" si="9"/>
        <v>51.1</v>
      </c>
      <c r="AD26" s="2">
        <v>42</v>
      </c>
      <c r="AE26" s="2">
        <v>28</v>
      </c>
      <c r="AF26" t="s">
        <v>52</v>
      </c>
      <c r="AG26" s="16">
        <v>128.74999999999997</v>
      </c>
      <c r="AH26" t="s">
        <v>42</v>
      </c>
    </row>
    <row r="27" spans="1:34" x14ac:dyDescent="0.25">
      <c r="A27" s="8" t="s">
        <v>22</v>
      </c>
      <c r="B27" s="8" t="s">
        <v>23</v>
      </c>
      <c r="C27" s="8" t="s">
        <v>50</v>
      </c>
      <c r="D27" s="9" t="s">
        <v>51</v>
      </c>
      <c r="E27" s="1">
        <v>42417</v>
      </c>
      <c r="F27">
        <v>2</v>
      </c>
      <c r="G27" s="2">
        <v>734</v>
      </c>
      <c r="H27" s="2">
        <v>25</v>
      </c>
      <c r="I27" s="2">
        <v>30.3</v>
      </c>
      <c r="J27" s="2">
        <f t="shared" si="0"/>
        <v>0.83</v>
      </c>
      <c r="K27" s="2">
        <v>4</v>
      </c>
      <c r="L27" s="2" cm="1">
        <f t="array" ref="L27">_xlfn.IFS(K27=1,0.5,K27=2,5.5,K27=3,18,K27=4,38,K27=5,63,K27=6,88)</f>
        <v>38</v>
      </c>
      <c r="M27" s="2">
        <f t="shared" si="4"/>
        <v>1.98</v>
      </c>
      <c r="N27" s="2">
        <v>146.4</v>
      </c>
      <c r="O27" s="2">
        <v>13.4</v>
      </c>
      <c r="P27" s="2">
        <v>17</v>
      </c>
      <c r="Q27" s="2">
        <v>20.399999999999999</v>
      </c>
      <c r="R27" s="2">
        <v>0</v>
      </c>
      <c r="S27" s="2">
        <v>0</v>
      </c>
      <c r="T27" s="2">
        <f t="shared" si="1"/>
        <v>197.20000000000002</v>
      </c>
      <c r="U27" s="2">
        <f t="shared" si="2"/>
        <v>74.2</v>
      </c>
      <c r="V27" s="2">
        <f t="shared" si="3"/>
        <v>6.8</v>
      </c>
      <c r="W27" s="2">
        <f t="shared" si="5"/>
        <v>8.6</v>
      </c>
      <c r="X27" s="2">
        <f t="shared" si="6"/>
        <v>15.8</v>
      </c>
      <c r="Y27" s="2">
        <f t="shared" si="7"/>
        <v>0</v>
      </c>
      <c r="Z27" s="2">
        <f t="shared" si="8"/>
        <v>0</v>
      </c>
      <c r="AA27" s="2">
        <v>236</v>
      </c>
      <c r="AB27" s="2">
        <v>116.94</v>
      </c>
      <c r="AC27" s="2">
        <f t="shared" si="9"/>
        <v>50.4</v>
      </c>
      <c r="AD27" s="2">
        <v>64</v>
      </c>
      <c r="AE27" s="2">
        <v>35</v>
      </c>
      <c r="AF27" t="s">
        <v>53</v>
      </c>
      <c r="AG27" s="16">
        <v>317.54999999999995</v>
      </c>
      <c r="AH27" t="s">
        <v>42</v>
      </c>
    </row>
    <row r="28" spans="1:34" x14ac:dyDescent="0.25">
      <c r="A28" s="8" t="s">
        <v>22</v>
      </c>
      <c r="B28" s="8" t="s">
        <v>23</v>
      </c>
      <c r="C28" s="8" t="s">
        <v>50</v>
      </c>
      <c r="D28" s="9" t="s">
        <v>51</v>
      </c>
      <c r="E28" s="1">
        <v>42417</v>
      </c>
      <c r="F28">
        <v>3</v>
      </c>
      <c r="G28" s="2">
        <v>446.9</v>
      </c>
      <c r="H28" s="2">
        <v>35</v>
      </c>
      <c r="I28" s="2">
        <v>26.9</v>
      </c>
      <c r="J28" s="2">
        <f t="shared" si="0"/>
        <v>1.3</v>
      </c>
      <c r="K28" s="2">
        <v>3</v>
      </c>
      <c r="L28" s="2" cm="1">
        <f t="array" ref="L28">_xlfn.IFS(K28=1,0.5,K28=2,5.5,K28=3,18,K28=4,38,K28=5,63,K28=6,88)</f>
        <v>18</v>
      </c>
      <c r="M28" s="2">
        <f t="shared" si="4"/>
        <v>1.67</v>
      </c>
      <c r="N28" s="2">
        <v>161.4</v>
      </c>
      <c r="O28" s="2">
        <v>13.8</v>
      </c>
      <c r="P28" s="2">
        <v>21.4</v>
      </c>
      <c r="Q28" s="2">
        <v>22</v>
      </c>
      <c r="R28" s="2">
        <v>0</v>
      </c>
      <c r="S28" s="2">
        <v>0</v>
      </c>
      <c r="T28" s="2">
        <f t="shared" si="1"/>
        <v>218.60000000000002</v>
      </c>
      <c r="U28" s="2">
        <f t="shared" si="2"/>
        <v>73.8</v>
      </c>
      <c r="V28" s="2">
        <f t="shared" si="3"/>
        <v>6.3</v>
      </c>
      <c r="W28" s="2">
        <f t="shared" si="5"/>
        <v>9.8000000000000007</v>
      </c>
      <c r="X28" s="2">
        <f t="shared" si="6"/>
        <v>17</v>
      </c>
      <c r="Y28" s="2">
        <f t="shared" si="7"/>
        <v>0</v>
      </c>
      <c r="Z28" s="2">
        <f t="shared" si="8"/>
        <v>0</v>
      </c>
      <c r="AA28" s="2">
        <v>164.4</v>
      </c>
      <c r="AB28" s="2">
        <v>98.38</v>
      </c>
      <c r="AC28" s="2">
        <f t="shared" si="9"/>
        <v>40.200000000000003</v>
      </c>
      <c r="AD28" s="2">
        <v>61</v>
      </c>
      <c r="AE28" s="2">
        <v>41</v>
      </c>
      <c r="AF28" t="s">
        <v>54</v>
      </c>
      <c r="AG28" s="16">
        <v>290.95000000000005</v>
      </c>
      <c r="AH28" t="s">
        <v>42</v>
      </c>
    </row>
    <row r="29" spans="1:34" x14ac:dyDescent="0.25">
      <c r="A29" s="8" t="s">
        <v>22</v>
      </c>
      <c r="B29" s="8" t="s">
        <v>23</v>
      </c>
      <c r="C29" s="8" t="s">
        <v>39</v>
      </c>
      <c r="D29" s="9" t="s">
        <v>40</v>
      </c>
      <c r="E29" s="1">
        <v>42417</v>
      </c>
      <c r="F29">
        <v>1</v>
      </c>
      <c r="G29" s="2">
        <v>800</v>
      </c>
      <c r="H29" s="2">
        <v>38</v>
      </c>
      <c r="I29" s="2">
        <v>25</v>
      </c>
      <c r="J29" s="2">
        <f t="shared" si="0"/>
        <v>1.52</v>
      </c>
      <c r="K29" s="2">
        <v>6</v>
      </c>
      <c r="L29" s="2" cm="1">
        <f t="array" ref="L29">_xlfn.IFS(K29=1,0.5,K29=2,5.5,K29=3,18,K29=4,38,K29=5,63,K29=6,88)</f>
        <v>88</v>
      </c>
      <c r="M29" s="2">
        <f t="shared" si="4"/>
        <v>2.72</v>
      </c>
      <c r="N29" s="2">
        <v>17.8</v>
      </c>
      <c r="O29" s="2">
        <v>0</v>
      </c>
      <c r="P29" s="2">
        <v>0</v>
      </c>
      <c r="Q29" s="2">
        <v>1.6</v>
      </c>
      <c r="R29" s="2">
        <v>0</v>
      </c>
      <c r="S29" s="2">
        <v>0</v>
      </c>
      <c r="T29" s="2">
        <f t="shared" si="1"/>
        <v>19.400000000000002</v>
      </c>
      <c r="U29" s="2">
        <f t="shared" si="2"/>
        <v>91.8</v>
      </c>
      <c r="V29" s="2">
        <f t="shared" si="3"/>
        <v>0</v>
      </c>
      <c r="W29" s="2">
        <f t="shared" si="5"/>
        <v>0</v>
      </c>
      <c r="X29" s="2">
        <f t="shared" si="6"/>
        <v>1.2</v>
      </c>
      <c r="Y29" s="2">
        <f t="shared" si="7"/>
        <v>0</v>
      </c>
      <c r="Z29" s="2">
        <f t="shared" si="8"/>
        <v>0</v>
      </c>
      <c r="AA29" s="2">
        <v>51.6</v>
      </c>
      <c r="AB29" s="2">
        <v>34.04</v>
      </c>
      <c r="AC29" s="2">
        <f t="shared" si="9"/>
        <v>34</v>
      </c>
      <c r="AD29" s="2">
        <v>47</v>
      </c>
      <c r="AE29" s="2">
        <v>29</v>
      </c>
      <c r="AF29" t="s">
        <v>41</v>
      </c>
      <c r="AG29" s="16">
        <v>66.549999999999983</v>
      </c>
      <c r="AH29" t="s">
        <v>42</v>
      </c>
    </row>
    <row r="30" spans="1:34" x14ac:dyDescent="0.25">
      <c r="A30" s="8" t="s">
        <v>22</v>
      </c>
      <c r="B30" s="8" t="s">
        <v>23</v>
      </c>
      <c r="C30" s="8" t="s">
        <v>39</v>
      </c>
      <c r="D30" s="9" t="s">
        <v>40</v>
      </c>
      <c r="E30" s="1">
        <v>42417</v>
      </c>
      <c r="F30">
        <v>2</v>
      </c>
      <c r="G30" s="2">
        <v>722.9</v>
      </c>
      <c r="H30" s="2">
        <v>40.5</v>
      </c>
      <c r="I30" s="2">
        <v>20.399999999999999</v>
      </c>
      <c r="J30" s="2">
        <f t="shared" si="0"/>
        <v>1.99</v>
      </c>
      <c r="K30" s="2">
        <v>6</v>
      </c>
      <c r="L30" s="2" cm="1">
        <f t="array" ref="L30">_xlfn.IFS(K30=1,0.5,K30=2,5.5,K30=3,18,K30=4,38,K30=5,63,K30=6,88)</f>
        <v>88</v>
      </c>
      <c r="M30" s="2">
        <f t="shared" si="4"/>
        <v>2.85</v>
      </c>
      <c r="N30" s="2">
        <v>16.399999999999999</v>
      </c>
      <c r="O30" s="2">
        <v>0</v>
      </c>
      <c r="P30" s="2">
        <v>0</v>
      </c>
      <c r="Q30" s="2">
        <v>4.2</v>
      </c>
      <c r="R30" s="2">
        <v>0</v>
      </c>
      <c r="S30" s="2">
        <v>0</v>
      </c>
      <c r="T30" s="2">
        <f t="shared" si="1"/>
        <v>20.599999999999998</v>
      </c>
      <c r="U30" s="2">
        <f t="shared" si="2"/>
        <v>79.599999999999994</v>
      </c>
      <c r="V30" s="2">
        <f t="shared" si="3"/>
        <v>0</v>
      </c>
      <c r="W30" s="2">
        <f t="shared" si="5"/>
        <v>0</v>
      </c>
      <c r="X30" s="2">
        <f t="shared" si="6"/>
        <v>3.3</v>
      </c>
      <c r="Y30" s="2">
        <f t="shared" si="7"/>
        <v>0</v>
      </c>
      <c r="Z30" s="2">
        <f t="shared" si="8"/>
        <v>0</v>
      </c>
      <c r="AA30" s="2">
        <v>56.2</v>
      </c>
      <c r="AB30" s="2">
        <v>37.409999999999997</v>
      </c>
      <c r="AC30" s="2">
        <f t="shared" si="9"/>
        <v>33.4</v>
      </c>
      <c r="AD30" s="2">
        <v>34</v>
      </c>
      <c r="AE30" s="2">
        <v>49</v>
      </c>
      <c r="AF30" t="s">
        <v>43</v>
      </c>
      <c r="AG30" s="16">
        <v>85.733333333333348</v>
      </c>
      <c r="AH30" t="s">
        <v>42</v>
      </c>
    </row>
    <row r="31" spans="1:34" x14ac:dyDescent="0.25">
      <c r="A31" s="8" t="s">
        <v>22</v>
      </c>
      <c r="B31" s="8" t="s">
        <v>23</v>
      </c>
      <c r="C31" s="8" t="s">
        <v>39</v>
      </c>
      <c r="D31" s="9" t="s">
        <v>40</v>
      </c>
      <c r="E31" s="1">
        <v>42417</v>
      </c>
      <c r="F31">
        <v>3</v>
      </c>
      <c r="G31" s="2">
        <v>739.6</v>
      </c>
      <c r="H31" s="2">
        <v>35</v>
      </c>
      <c r="I31" s="2">
        <v>28</v>
      </c>
      <c r="J31" s="2">
        <f t="shared" si="0"/>
        <v>1.25</v>
      </c>
      <c r="K31" s="2">
        <v>6</v>
      </c>
      <c r="L31" s="2" cm="1">
        <f t="array" ref="L31">_xlfn.IFS(K31=1,0.5,K31=2,5.5,K31=3,18,K31=4,38,K31=5,63,K31=6,88)</f>
        <v>88</v>
      </c>
      <c r="M31" s="2">
        <f t="shared" si="4"/>
        <v>2.52</v>
      </c>
      <c r="N31" s="2">
        <v>36</v>
      </c>
      <c r="O31" s="2">
        <v>6.6</v>
      </c>
      <c r="P31" s="2">
        <v>0</v>
      </c>
      <c r="Q31" s="2">
        <v>11</v>
      </c>
      <c r="R31" s="2">
        <v>0</v>
      </c>
      <c r="S31" s="2">
        <v>0</v>
      </c>
      <c r="T31" s="2">
        <f t="shared" si="1"/>
        <v>53.6</v>
      </c>
      <c r="U31" s="2">
        <f t="shared" si="2"/>
        <v>67.2</v>
      </c>
      <c r="V31" s="2">
        <f t="shared" si="3"/>
        <v>12.3</v>
      </c>
      <c r="W31" s="2">
        <f t="shared" si="5"/>
        <v>0</v>
      </c>
      <c r="X31" s="2">
        <f t="shared" si="6"/>
        <v>8.5</v>
      </c>
      <c r="Y31" s="2">
        <f t="shared" si="7"/>
        <v>0</v>
      </c>
      <c r="Z31" s="2">
        <f t="shared" si="8"/>
        <v>0</v>
      </c>
      <c r="AA31" s="2">
        <v>61.8</v>
      </c>
      <c r="AB31" s="2">
        <v>48.83</v>
      </c>
      <c r="AC31" s="2">
        <f t="shared" si="9"/>
        <v>21</v>
      </c>
      <c r="AD31" s="2">
        <v>44</v>
      </c>
      <c r="AE31" s="2">
        <v>61</v>
      </c>
      <c r="AF31" t="s">
        <v>44</v>
      </c>
      <c r="AG31" s="16">
        <v>95.35</v>
      </c>
      <c r="AH31" t="s">
        <v>42</v>
      </c>
    </row>
    <row r="32" spans="1:34" x14ac:dyDescent="0.25">
      <c r="A32" s="12" t="s">
        <v>134</v>
      </c>
      <c r="B32" s="12" t="s">
        <v>23</v>
      </c>
      <c r="C32" s="12" t="s">
        <v>137</v>
      </c>
      <c r="D32" s="13" t="s">
        <v>138</v>
      </c>
      <c r="E32" s="1">
        <v>42419</v>
      </c>
      <c r="F32">
        <v>1</v>
      </c>
      <c r="G32" s="2">
        <v>271.10000000000002</v>
      </c>
      <c r="H32" s="2">
        <v>5</v>
      </c>
      <c r="I32" s="2">
        <v>16</v>
      </c>
      <c r="J32" s="2">
        <f t="shared" si="0"/>
        <v>0.31</v>
      </c>
      <c r="K32" s="2">
        <v>1</v>
      </c>
      <c r="L32" s="2" cm="1">
        <f t="array" ref="L32">_xlfn.IFS(K32=1,0.5,K32=2,5.5,K32=3,18,K32=4,38,K32=5,63,K32=6,88)</f>
        <v>0.5</v>
      </c>
      <c r="M32" s="2">
        <f t="shared" si="4"/>
        <v>0.65</v>
      </c>
      <c r="N32" s="2">
        <v>0</v>
      </c>
      <c r="O32" s="2">
        <v>37.4</v>
      </c>
      <c r="P32" s="2">
        <f>97+248</f>
        <v>345</v>
      </c>
      <c r="Q32" s="2">
        <v>0</v>
      </c>
      <c r="R32" s="2">
        <v>0</v>
      </c>
      <c r="S32" s="2">
        <v>0</v>
      </c>
      <c r="T32" s="2">
        <f t="shared" si="1"/>
        <v>382.4</v>
      </c>
      <c r="U32" s="2">
        <f t="shared" si="2"/>
        <v>0</v>
      </c>
      <c r="V32" s="2">
        <f t="shared" si="3"/>
        <v>9.8000000000000007</v>
      </c>
      <c r="W32" s="2">
        <f t="shared" si="5"/>
        <v>90.2</v>
      </c>
      <c r="X32" s="2">
        <f t="shared" si="6"/>
        <v>0</v>
      </c>
      <c r="Y32" s="2">
        <f t="shared" si="7"/>
        <v>0</v>
      </c>
      <c r="Z32" s="2">
        <f t="shared" si="8"/>
        <v>0</v>
      </c>
      <c r="AA32" s="2">
        <v>254.4</v>
      </c>
      <c r="AB32" s="2">
        <v>114.73</v>
      </c>
      <c r="AC32" s="2">
        <f t="shared" si="9"/>
        <v>54.9</v>
      </c>
      <c r="AD32" s="2">
        <v>89</v>
      </c>
      <c r="AE32" s="2">
        <v>81</v>
      </c>
      <c r="AF32" t="s">
        <v>157</v>
      </c>
    </row>
    <row r="33" spans="1:33" x14ac:dyDescent="0.25">
      <c r="A33" s="12" t="s">
        <v>134</v>
      </c>
      <c r="B33" s="12" t="s">
        <v>23</v>
      </c>
      <c r="C33" s="12" t="s">
        <v>137</v>
      </c>
      <c r="D33" s="13" t="s">
        <v>138</v>
      </c>
      <c r="E33" s="1">
        <v>42419</v>
      </c>
      <c r="F33">
        <v>2</v>
      </c>
      <c r="G33" s="2">
        <v>693.5</v>
      </c>
      <c r="H33" s="2">
        <v>13</v>
      </c>
      <c r="I33" s="2">
        <v>28.4</v>
      </c>
      <c r="J33" s="2">
        <f t="shared" si="0"/>
        <v>0.46</v>
      </c>
      <c r="K33" s="2">
        <v>3</v>
      </c>
      <c r="L33" s="2" cm="1">
        <f t="array" ref="L33">_xlfn.IFS(K33=1,0.5,K33=2,5.5,K33=3,18,K33=4,38,K33=5,63,K33=6,88)</f>
        <v>18</v>
      </c>
      <c r="M33" s="2">
        <f t="shared" si="4"/>
        <v>1.58</v>
      </c>
      <c r="N33" s="2">
        <v>0</v>
      </c>
      <c r="O33" s="2">
        <v>32.799999999999997</v>
      </c>
      <c r="P33" s="2">
        <f>130.8+176.2</f>
        <v>307</v>
      </c>
      <c r="Q33" s="2">
        <v>0</v>
      </c>
      <c r="R33" s="2">
        <v>0</v>
      </c>
      <c r="S33" s="2">
        <v>0</v>
      </c>
      <c r="T33" s="2">
        <f t="shared" si="1"/>
        <v>339.8</v>
      </c>
      <c r="U33" s="2">
        <f t="shared" si="2"/>
        <v>0</v>
      </c>
      <c r="V33" s="2">
        <f t="shared" si="3"/>
        <v>9.6999999999999993</v>
      </c>
      <c r="W33" s="2">
        <f t="shared" si="5"/>
        <v>90.3</v>
      </c>
      <c r="X33" s="2">
        <f t="shared" si="6"/>
        <v>0</v>
      </c>
      <c r="Y33" s="2">
        <f t="shared" si="7"/>
        <v>0</v>
      </c>
      <c r="Z33" s="2">
        <f t="shared" si="8"/>
        <v>0</v>
      </c>
      <c r="AA33" s="2">
        <v>182</v>
      </c>
      <c r="AB33" s="2">
        <v>76.67</v>
      </c>
      <c r="AC33" s="2">
        <f t="shared" si="9"/>
        <v>57.9</v>
      </c>
      <c r="AD33" s="2">
        <v>64</v>
      </c>
      <c r="AE33" s="2">
        <v>61</v>
      </c>
      <c r="AF33" t="s">
        <v>158</v>
      </c>
    </row>
    <row r="34" spans="1:33" x14ac:dyDescent="0.25">
      <c r="A34" s="12" t="s">
        <v>134</v>
      </c>
      <c r="B34" s="12" t="s">
        <v>23</v>
      </c>
      <c r="C34" s="12" t="s">
        <v>137</v>
      </c>
      <c r="D34" s="13" t="s">
        <v>138</v>
      </c>
      <c r="E34" s="1">
        <v>42419</v>
      </c>
      <c r="F34">
        <v>3</v>
      </c>
      <c r="G34" s="2">
        <v>520.70000000000005</v>
      </c>
      <c r="H34" s="2">
        <v>8</v>
      </c>
      <c r="I34" s="2">
        <v>16.7</v>
      </c>
      <c r="J34" s="2">
        <f t="shared" si="0"/>
        <v>0.48</v>
      </c>
      <c r="K34" s="2">
        <v>3</v>
      </c>
      <c r="L34" s="2" cm="1">
        <f t="array" ref="L34">_xlfn.IFS(K34=1,0.5,K34=2,5.5,K34=3,18,K34=4,38,K34=5,63,K34=6,88)</f>
        <v>18</v>
      </c>
      <c r="M34" s="2">
        <f t="shared" ref="M34:M65" si="10">ROUND(G34/MAX($G$2:$G$79)+J34/MAX($J$2:$J$79)+K34/MAX($K$2:$K$79),2)</f>
        <v>1.38</v>
      </c>
      <c r="N34" s="2">
        <v>0</v>
      </c>
      <c r="O34" s="2">
        <v>28.6</v>
      </c>
      <c r="P34" s="2">
        <f>92.2+58.4+89.8</f>
        <v>240.39999999999998</v>
      </c>
      <c r="Q34" s="2">
        <v>0</v>
      </c>
      <c r="R34" s="2">
        <v>0</v>
      </c>
      <c r="S34" s="2">
        <v>0</v>
      </c>
      <c r="T34" s="2">
        <f t="shared" ref="T34:T65" si="11">SUM(N34:S34)</f>
        <v>269</v>
      </c>
      <c r="U34" s="2">
        <f t="shared" ref="U34:U65" si="12">ROUND(N34/T34*100,1)</f>
        <v>0</v>
      </c>
      <c r="V34" s="2">
        <f t="shared" ref="V34:V65" si="13">ROUND(O34/T34*100,1)</f>
        <v>10.6</v>
      </c>
      <c r="W34" s="2">
        <f t="shared" si="5"/>
        <v>89.4</v>
      </c>
      <c r="X34" s="2">
        <f t="shared" si="6"/>
        <v>0</v>
      </c>
      <c r="Y34" s="2">
        <f t="shared" si="7"/>
        <v>0</v>
      </c>
      <c r="Z34" s="2">
        <f t="shared" si="8"/>
        <v>0</v>
      </c>
      <c r="AA34" s="2">
        <v>167.4</v>
      </c>
      <c r="AB34" s="2">
        <v>72.58</v>
      </c>
      <c r="AC34" s="2">
        <f t="shared" ref="AC34:AC65" si="14">ROUND((AA34-AB34)/AA34*100,1)</f>
        <v>56.6</v>
      </c>
      <c r="AD34" s="2">
        <v>79</v>
      </c>
      <c r="AE34" s="2">
        <v>36</v>
      </c>
      <c r="AF34" t="s">
        <v>159</v>
      </c>
    </row>
    <row r="35" spans="1:33" x14ac:dyDescent="0.25">
      <c r="A35" s="12" t="s">
        <v>134</v>
      </c>
      <c r="B35" s="12" t="s">
        <v>23</v>
      </c>
      <c r="C35" s="12" t="s">
        <v>143</v>
      </c>
      <c r="D35" s="13" t="s">
        <v>144</v>
      </c>
      <c r="E35" s="1">
        <v>42419</v>
      </c>
      <c r="F35">
        <v>1</v>
      </c>
      <c r="G35" s="2">
        <v>465.9</v>
      </c>
      <c r="H35" s="2">
        <v>5</v>
      </c>
      <c r="I35" s="2">
        <v>8.3000000000000007</v>
      </c>
      <c r="J35" s="2">
        <f t="shared" si="0"/>
        <v>0.6</v>
      </c>
      <c r="K35" s="2">
        <v>1</v>
      </c>
      <c r="L35" s="2" cm="1">
        <f t="array" ref="L35">_xlfn.IFS(K35=1,0.5,K35=2,5.5,K35=3,18,K35=4,38,K35=5,63,K35=6,88)</f>
        <v>0.5</v>
      </c>
      <c r="M35" s="2">
        <f t="shared" si="10"/>
        <v>1.03</v>
      </c>
      <c r="N35" s="2">
        <v>0.2</v>
      </c>
      <c r="O35" s="2">
        <v>5.6</v>
      </c>
      <c r="P35" s="2">
        <v>109.4</v>
      </c>
      <c r="Q35" s="2">
        <v>0</v>
      </c>
      <c r="R35" s="2">
        <v>0</v>
      </c>
      <c r="S35" s="2">
        <v>0</v>
      </c>
      <c r="T35" s="2">
        <f t="shared" si="11"/>
        <v>115.2</v>
      </c>
      <c r="U35" s="2">
        <f t="shared" si="12"/>
        <v>0.2</v>
      </c>
      <c r="V35" s="2">
        <f t="shared" si="13"/>
        <v>4.9000000000000004</v>
      </c>
      <c r="W35" s="2">
        <f t="shared" ref="W35:W66" si="15">ROUND(P35/T35*100,1)</f>
        <v>95</v>
      </c>
      <c r="X35" s="2">
        <f t="shared" ref="X35:X66" si="16">ROUND(Q35/$T$2*100,1)</f>
        <v>0</v>
      </c>
      <c r="Y35" s="2">
        <f t="shared" ref="Y35:Y66" si="17">ROUND(R35/$T$2*100,1)</f>
        <v>0</v>
      </c>
      <c r="Z35" s="2">
        <f t="shared" ref="Z35:Z66" si="18">ROUND(S35/$T$2*100,1)</f>
        <v>0</v>
      </c>
      <c r="AA35" s="2">
        <f>234.8+167.2</f>
        <v>402</v>
      </c>
      <c r="AB35" s="2">
        <v>135.12</v>
      </c>
      <c r="AC35" s="2">
        <f t="shared" si="14"/>
        <v>66.400000000000006</v>
      </c>
      <c r="AD35" s="2">
        <v>75</v>
      </c>
      <c r="AE35" s="2">
        <v>36</v>
      </c>
      <c r="AF35" t="s">
        <v>145</v>
      </c>
    </row>
    <row r="36" spans="1:33" x14ac:dyDescent="0.25">
      <c r="A36" s="12" t="s">
        <v>134</v>
      </c>
      <c r="B36" s="12" t="s">
        <v>23</v>
      </c>
      <c r="C36" s="12" t="s">
        <v>143</v>
      </c>
      <c r="D36" s="13" t="s">
        <v>144</v>
      </c>
      <c r="E36" s="1">
        <v>42419</v>
      </c>
      <c r="F36">
        <v>2</v>
      </c>
      <c r="G36" s="2">
        <v>298</v>
      </c>
      <c r="H36" s="2">
        <v>2</v>
      </c>
      <c r="I36" s="2">
        <v>7.5</v>
      </c>
      <c r="J36" s="2">
        <f t="shared" si="0"/>
        <v>0.27</v>
      </c>
      <c r="K36" s="2">
        <v>1</v>
      </c>
      <c r="L36" s="2" cm="1">
        <f t="array" ref="L36">_xlfn.IFS(K36=1,0.5,K36=2,5.5,K36=3,18,K36=4,38,K36=5,63,K36=6,88)</f>
        <v>0.5</v>
      </c>
      <c r="M36" s="2">
        <f t="shared" si="10"/>
        <v>0.67</v>
      </c>
      <c r="N36" s="2">
        <v>0</v>
      </c>
      <c r="O36" s="2">
        <v>17.600000000000001</v>
      </c>
      <c r="P36" s="2">
        <v>180.2</v>
      </c>
      <c r="Q36" s="2">
        <v>0</v>
      </c>
      <c r="R36" s="2">
        <v>0</v>
      </c>
      <c r="S36" s="2">
        <v>0</v>
      </c>
      <c r="T36" s="2">
        <f t="shared" si="11"/>
        <v>197.79999999999998</v>
      </c>
      <c r="U36" s="2">
        <f t="shared" si="12"/>
        <v>0</v>
      </c>
      <c r="V36" s="2">
        <f t="shared" si="13"/>
        <v>8.9</v>
      </c>
      <c r="W36" s="2">
        <f t="shared" si="15"/>
        <v>91.1</v>
      </c>
      <c r="X36" s="2">
        <f t="shared" si="16"/>
        <v>0</v>
      </c>
      <c r="Y36" s="2">
        <f t="shared" si="17"/>
        <v>0</v>
      </c>
      <c r="Z36" s="2">
        <f t="shared" si="18"/>
        <v>0</v>
      </c>
      <c r="AA36" s="2">
        <f>214</f>
        <v>214</v>
      </c>
      <c r="AB36" s="2">
        <v>67.88</v>
      </c>
      <c r="AC36" s="2">
        <f t="shared" si="14"/>
        <v>68.3</v>
      </c>
      <c r="AD36" s="2">
        <v>55</v>
      </c>
      <c r="AE36" s="2">
        <v>53</v>
      </c>
      <c r="AF36" t="s">
        <v>146</v>
      </c>
    </row>
    <row r="37" spans="1:33" x14ac:dyDescent="0.25">
      <c r="A37" s="14" t="s">
        <v>134</v>
      </c>
      <c r="B37" s="14" t="s">
        <v>23</v>
      </c>
      <c r="C37" s="14" t="s">
        <v>143</v>
      </c>
      <c r="D37" s="15" t="s">
        <v>144</v>
      </c>
      <c r="E37" s="1">
        <v>42419</v>
      </c>
      <c r="F37">
        <v>3</v>
      </c>
      <c r="G37" s="2">
        <v>0</v>
      </c>
      <c r="H37" s="2">
        <v>0</v>
      </c>
      <c r="I37" s="2">
        <v>0</v>
      </c>
      <c r="J37" s="2">
        <v>0</v>
      </c>
      <c r="K37" s="2">
        <v>1</v>
      </c>
      <c r="L37" s="2" cm="1">
        <f t="array" ref="L37">_xlfn.IFS(K37=1,0.5,K37=2,5.5,K37=3,18,K37=4,38,K37=5,63,K37=6,88)</f>
        <v>0.5</v>
      </c>
      <c r="M37" s="2">
        <f t="shared" si="10"/>
        <v>0.17</v>
      </c>
      <c r="N37" s="2">
        <v>0.6</v>
      </c>
      <c r="O37" s="2">
        <v>22.6</v>
      </c>
      <c r="P37" s="2">
        <f>115.8+28+53.6</f>
        <v>197.4</v>
      </c>
      <c r="Q37" s="2">
        <v>0.2</v>
      </c>
      <c r="R37" s="2">
        <v>0</v>
      </c>
      <c r="S37" s="2">
        <v>0</v>
      </c>
      <c r="T37" s="2">
        <f t="shared" si="11"/>
        <v>220.8</v>
      </c>
      <c r="U37" s="2">
        <f t="shared" si="12"/>
        <v>0.3</v>
      </c>
      <c r="V37" s="2">
        <f t="shared" si="13"/>
        <v>10.199999999999999</v>
      </c>
      <c r="W37" s="2">
        <f t="shared" si="15"/>
        <v>89.4</v>
      </c>
      <c r="X37" s="2">
        <f t="shared" si="16"/>
        <v>0.2</v>
      </c>
      <c r="Y37" s="2">
        <f t="shared" si="17"/>
        <v>0</v>
      </c>
      <c r="Z37" s="2">
        <f t="shared" si="18"/>
        <v>0</v>
      </c>
      <c r="AA37" s="2">
        <f>326.4</f>
        <v>326.39999999999998</v>
      </c>
      <c r="AB37" s="2">
        <v>117.44</v>
      </c>
      <c r="AC37" s="2">
        <f t="shared" si="14"/>
        <v>64</v>
      </c>
      <c r="AD37" s="2">
        <v>76</v>
      </c>
      <c r="AE37" s="2">
        <v>38</v>
      </c>
      <c r="AF37" t="s">
        <v>147</v>
      </c>
    </row>
    <row r="38" spans="1:33" x14ac:dyDescent="0.25">
      <c r="A38" s="12" t="s">
        <v>134</v>
      </c>
      <c r="B38" s="12" t="s">
        <v>23</v>
      </c>
      <c r="C38" s="12" t="s">
        <v>141</v>
      </c>
      <c r="D38" s="13" t="s">
        <v>142</v>
      </c>
      <c r="E38" s="1">
        <v>42419</v>
      </c>
      <c r="F38">
        <v>1</v>
      </c>
      <c r="G38" s="2">
        <v>588.1</v>
      </c>
      <c r="H38" s="2">
        <v>6</v>
      </c>
      <c r="I38" s="2">
        <v>16.600000000000001</v>
      </c>
      <c r="J38" s="2">
        <f>ROUND(H38/I38,2)</f>
        <v>0.36</v>
      </c>
      <c r="K38" s="2">
        <v>2</v>
      </c>
      <c r="L38" s="2" cm="1">
        <f t="array" ref="L38">_xlfn.IFS(K38=1,0.5,K38=2,5.5,K38=3,18,K38=4,38,K38=5,63,K38=6,88)</f>
        <v>5.5</v>
      </c>
      <c r="M38" s="2">
        <f t="shared" si="10"/>
        <v>1.24</v>
      </c>
      <c r="N38" s="2">
        <v>0</v>
      </c>
      <c r="O38" s="2">
        <v>36.4</v>
      </c>
      <c r="P38" s="2">
        <v>126.6</v>
      </c>
      <c r="Q38" s="2">
        <v>0</v>
      </c>
      <c r="R38" s="2">
        <v>0</v>
      </c>
      <c r="S38" s="2">
        <v>0</v>
      </c>
      <c r="T38" s="2">
        <f t="shared" si="11"/>
        <v>163</v>
      </c>
      <c r="U38" s="2">
        <f t="shared" si="12"/>
        <v>0</v>
      </c>
      <c r="V38" s="2">
        <f t="shared" si="13"/>
        <v>22.3</v>
      </c>
      <c r="W38" s="2">
        <f t="shared" si="15"/>
        <v>77.7</v>
      </c>
      <c r="X38" s="2">
        <f t="shared" si="16"/>
        <v>0</v>
      </c>
      <c r="Y38" s="2">
        <f t="shared" si="17"/>
        <v>0</v>
      </c>
      <c r="Z38" s="2">
        <f t="shared" si="18"/>
        <v>0</v>
      </c>
      <c r="AA38" s="2">
        <v>208.8</v>
      </c>
      <c r="AB38" s="2">
        <v>88.69</v>
      </c>
      <c r="AC38" s="2">
        <f t="shared" si="14"/>
        <v>57.5</v>
      </c>
      <c r="AD38" s="2">
        <v>64</v>
      </c>
      <c r="AE38" s="2">
        <v>63</v>
      </c>
      <c r="AF38" t="s">
        <v>148</v>
      </c>
    </row>
    <row r="39" spans="1:33" x14ac:dyDescent="0.25">
      <c r="A39" s="12" t="s">
        <v>134</v>
      </c>
      <c r="B39" s="12" t="s">
        <v>23</v>
      </c>
      <c r="C39" s="12" t="s">
        <v>141</v>
      </c>
      <c r="D39" s="13" t="s">
        <v>142</v>
      </c>
      <c r="E39" s="1">
        <v>42419</v>
      </c>
      <c r="F39">
        <v>2</v>
      </c>
      <c r="G39" s="2">
        <v>800</v>
      </c>
      <c r="H39" s="2">
        <v>33</v>
      </c>
      <c r="I39" s="2">
        <v>46.8</v>
      </c>
      <c r="J39" s="2">
        <f>ROUND(H39/I39,2)</f>
        <v>0.71</v>
      </c>
      <c r="K39" s="2">
        <v>5</v>
      </c>
      <c r="L39" s="2" cm="1">
        <f t="array" ref="L39">_xlfn.IFS(K39=1,0.5,K39=2,5.5,K39=3,18,K39=4,38,K39=5,63,K39=6,88)</f>
        <v>63</v>
      </c>
      <c r="M39" s="2">
        <f t="shared" si="10"/>
        <v>2.17</v>
      </c>
      <c r="N39" s="2">
        <v>4</v>
      </c>
      <c r="O39" s="2">
        <v>15.8</v>
      </c>
      <c r="P39" s="2">
        <v>119</v>
      </c>
      <c r="Q39" s="2">
        <v>0</v>
      </c>
      <c r="R39" s="2">
        <v>0</v>
      </c>
      <c r="S39" s="2">
        <v>0</v>
      </c>
      <c r="T39" s="2">
        <f t="shared" si="11"/>
        <v>138.80000000000001</v>
      </c>
      <c r="U39" s="2">
        <f t="shared" si="12"/>
        <v>2.9</v>
      </c>
      <c r="V39" s="2">
        <f t="shared" si="13"/>
        <v>11.4</v>
      </c>
      <c r="W39" s="2">
        <f t="shared" si="15"/>
        <v>85.7</v>
      </c>
      <c r="X39" s="2">
        <f t="shared" si="16"/>
        <v>0</v>
      </c>
      <c r="Y39" s="2">
        <f t="shared" si="17"/>
        <v>0</v>
      </c>
      <c r="Z39" s="2">
        <f t="shared" si="18"/>
        <v>0</v>
      </c>
      <c r="AA39" s="2">
        <v>276</v>
      </c>
      <c r="AB39" s="2">
        <v>111.82</v>
      </c>
      <c r="AC39" s="2">
        <f t="shared" si="14"/>
        <v>59.5</v>
      </c>
      <c r="AD39" s="2">
        <v>69</v>
      </c>
      <c r="AE39" s="2">
        <v>50</v>
      </c>
      <c r="AF39" t="s">
        <v>149</v>
      </c>
    </row>
    <row r="40" spans="1:33" x14ac:dyDescent="0.25">
      <c r="A40" s="12" t="s">
        <v>134</v>
      </c>
      <c r="B40" s="12" t="s">
        <v>23</v>
      </c>
      <c r="C40" s="12" t="s">
        <v>141</v>
      </c>
      <c r="D40" s="13" t="s">
        <v>142</v>
      </c>
      <c r="E40" s="1">
        <v>42419</v>
      </c>
      <c r="F40">
        <v>3</v>
      </c>
      <c r="G40" s="2">
        <v>725</v>
      </c>
      <c r="H40" s="2">
        <v>39</v>
      </c>
      <c r="I40" s="2">
        <v>65.099999999999994</v>
      </c>
      <c r="J40" s="2">
        <f>ROUND(H40/I40,2)</f>
        <v>0.6</v>
      </c>
      <c r="K40" s="2">
        <v>4</v>
      </c>
      <c r="L40" s="2" cm="1">
        <f t="array" ref="L40">_xlfn.IFS(K40=1,0.5,K40=2,5.5,K40=3,18,K40=4,38,K40=5,63,K40=6,88)</f>
        <v>38</v>
      </c>
      <c r="M40" s="2">
        <f t="shared" si="10"/>
        <v>1.86</v>
      </c>
      <c r="N40" s="2">
        <v>11.8</v>
      </c>
      <c r="O40" s="2">
        <v>18.2</v>
      </c>
      <c r="P40" s="2">
        <v>65.2</v>
      </c>
      <c r="Q40" s="2">
        <v>0</v>
      </c>
      <c r="R40" s="2">
        <v>0</v>
      </c>
      <c r="S40" s="2">
        <v>0</v>
      </c>
      <c r="T40" s="2">
        <f t="shared" si="11"/>
        <v>95.2</v>
      </c>
      <c r="U40" s="2">
        <f t="shared" si="12"/>
        <v>12.4</v>
      </c>
      <c r="V40" s="2">
        <f t="shared" si="13"/>
        <v>19.100000000000001</v>
      </c>
      <c r="W40" s="2">
        <f t="shared" si="15"/>
        <v>68.5</v>
      </c>
      <c r="X40" s="2">
        <f t="shared" si="16"/>
        <v>0</v>
      </c>
      <c r="Y40" s="2">
        <f t="shared" si="17"/>
        <v>0</v>
      </c>
      <c r="Z40" s="2">
        <f t="shared" si="18"/>
        <v>0</v>
      </c>
      <c r="AA40" s="2">
        <v>285.60000000000002</v>
      </c>
      <c r="AB40" s="2">
        <v>108.08</v>
      </c>
      <c r="AC40" s="2">
        <f t="shared" si="14"/>
        <v>62.2</v>
      </c>
      <c r="AD40" s="2">
        <v>106</v>
      </c>
      <c r="AE40" s="2">
        <v>47</v>
      </c>
      <c r="AF40" t="s">
        <v>150</v>
      </c>
    </row>
    <row r="41" spans="1:33" x14ac:dyDescent="0.25">
      <c r="A41" s="12" t="s">
        <v>134</v>
      </c>
      <c r="B41" s="12" t="s">
        <v>23</v>
      </c>
      <c r="C41" s="12" t="s">
        <v>135</v>
      </c>
      <c r="D41" s="13" t="s">
        <v>136</v>
      </c>
      <c r="E41" s="1">
        <v>42419</v>
      </c>
      <c r="F41">
        <v>1</v>
      </c>
      <c r="G41" s="2">
        <v>616.1</v>
      </c>
      <c r="H41" s="2">
        <v>12</v>
      </c>
      <c r="I41" s="2">
        <v>29.3</v>
      </c>
      <c r="J41" s="2">
        <f>ROUND(H41/I41,2)</f>
        <v>0.41</v>
      </c>
      <c r="K41" s="2">
        <v>2</v>
      </c>
      <c r="L41" s="2" cm="1">
        <f t="array" ref="L41">_xlfn.IFS(K41=1,0.5,K41=2,5.5,K41=3,18,K41=4,38,K41=5,63,K41=6,88)</f>
        <v>5.5</v>
      </c>
      <c r="M41" s="2">
        <f t="shared" si="10"/>
        <v>1.3</v>
      </c>
      <c r="N41" s="2">
        <v>22.8</v>
      </c>
      <c r="O41" s="2">
        <v>12.6</v>
      </c>
      <c r="P41" s="2">
        <v>95</v>
      </c>
      <c r="Q41" s="2">
        <v>0</v>
      </c>
      <c r="R41" s="2">
        <v>0</v>
      </c>
      <c r="S41" s="2">
        <v>0</v>
      </c>
      <c r="T41" s="2">
        <f t="shared" si="11"/>
        <v>130.4</v>
      </c>
      <c r="U41" s="2">
        <f t="shared" si="12"/>
        <v>17.5</v>
      </c>
      <c r="V41" s="2">
        <f t="shared" si="13"/>
        <v>9.6999999999999993</v>
      </c>
      <c r="W41" s="2">
        <f t="shared" si="15"/>
        <v>72.900000000000006</v>
      </c>
      <c r="X41" s="2">
        <f t="shared" si="16"/>
        <v>0</v>
      </c>
      <c r="Y41" s="2">
        <f t="shared" si="17"/>
        <v>0</v>
      </c>
      <c r="Z41" s="2">
        <f t="shared" si="18"/>
        <v>0</v>
      </c>
      <c r="AA41" s="2">
        <v>98.8</v>
      </c>
      <c r="AB41" s="2">
        <v>41.11</v>
      </c>
      <c r="AC41" s="2">
        <f t="shared" si="14"/>
        <v>58.4</v>
      </c>
      <c r="AD41" s="2">
        <v>51</v>
      </c>
      <c r="AE41" s="2">
        <v>35</v>
      </c>
      <c r="AF41" t="s">
        <v>154</v>
      </c>
    </row>
    <row r="42" spans="1:33" x14ac:dyDescent="0.25">
      <c r="A42" s="12" t="s">
        <v>134</v>
      </c>
      <c r="B42" s="12" t="s">
        <v>23</v>
      </c>
      <c r="C42" s="12" t="s">
        <v>135</v>
      </c>
      <c r="D42" s="13" t="s">
        <v>136</v>
      </c>
      <c r="E42" s="1">
        <v>42419</v>
      </c>
      <c r="F42">
        <v>2</v>
      </c>
      <c r="G42" s="2">
        <v>432.8</v>
      </c>
      <c r="H42" s="2">
        <v>4</v>
      </c>
      <c r="I42" s="2">
        <v>16</v>
      </c>
      <c r="J42" s="2">
        <f>ROUND(H42/I42,2)</f>
        <v>0.25</v>
      </c>
      <c r="K42" s="2">
        <v>2</v>
      </c>
      <c r="L42" s="2" cm="1">
        <f t="array" ref="L42">_xlfn.IFS(K42=1,0.5,K42=2,5.5,K42=3,18,K42=4,38,K42=5,63,K42=6,88)</f>
        <v>5.5</v>
      </c>
      <c r="M42" s="2">
        <f t="shared" si="10"/>
        <v>0.99</v>
      </c>
      <c r="N42" s="2">
        <v>19.600000000000001</v>
      </c>
      <c r="O42" s="2">
        <v>13.4</v>
      </c>
      <c r="P42" s="2">
        <v>120.4</v>
      </c>
      <c r="Q42" s="2">
        <v>0</v>
      </c>
      <c r="R42" s="2">
        <v>0</v>
      </c>
      <c r="S42" s="2">
        <v>0</v>
      </c>
      <c r="T42" s="2">
        <f t="shared" si="11"/>
        <v>153.4</v>
      </c>
      <c r="U42" s="2">
        <f t="shared" si="12"/>
        <v>12.8</v>
      </c>
      <c r="V42" s="2">
        <f t="shared" si="13"/>
        <v>8.6999999999999993</v>
      </c>
      <c r="W42" s="2">
        <f t="shared" si="15"/>
        <v>78.5</v>
      </c>
      <c r="X42" s="2">
        <f t="shared" si="16"/>
        <v>0</v>
      </c>
      <c r="Y42" s="2">
        <f t="shared" si="17"/>
        <v>0</v>
      </c>
      <c r="Z42" s="2">
        <f t="shared" si="18"/>
        <v>0</v>
      </c>
      <c r="AA42" s="2">
        <v>98</v>
      </c>
      <c r="AB42" s="2">
        <v>40.57</v>
      </c>
      <c r="AC42" s="2">
        <f t="shared" si="14"/>
        <v>58.6</v>
      </c>
      <c r="AD42" s="2">
        <v>64</v>
      </c>
      <c r="AE42" s="2">
        <v>44</v>
      </c>
      <c r="AF42" t="s">
        <v>155</v>
      </c>
    </row>
    <row r="43" spans="1:33" x14ac:dyDescent="0.25">
      <c r="A43" s="12" t="s">
        <v>134</v>
      </c>
      <c r="B43" s="12" t="s">
        <v>23</v>
      </c>
      <c r="C43" s="12" t="s">
        <v>135</v>
      </c>
      <c r="D43" s="13" t="s">
        <v>136</v>
      </c>
      <c r="E43" s="1">
        <v>42419</v>
      </c>
      <c r="F43">
        <v>3</v>
      </c>
      <c r="G43" s="2">
        <v>0</v>
      </c>
      <c r="H43" s="2">
        <v>0</v>
      </c>
      <c r="I43" s="2">
        <v>0</v>
      </c>
      <c r="J43" s="2">
        <v>0</v>
      </c>
      <c r="K43" s="2">
        <v>1</v>
      </c>
      <c r="L43" s="2" cm="1">
        <f t="array" ref="L43">_xlfn.IFS(K43=1,0.5,K43=2,5.5,K43=3,18,K43=4,38,K43=5,63,K43=6,88)</f>
        <v>0.5</v>
      </c>
      <c r="M43" s="2">
        <f t="shared" si="10"/>
        <v>0.17</v>
      </c>
      <c r="N43" s="2">
        <v>20.399999999999999</v>
      </c>
      <c r="O43" s="2">
        <v>12.6</v>
      </c>
      <c r="P43" s="2">
        <v>74.8</v>
      </c>
      <c r="Q43" s="2">
        <v>1.8</v>
      </c>
      <c r="R43" s="2">
        <v>0</v>
      </c>
      <c r="S43" s="2">
        <v>1.4</v>
      </c>
      <c r="T43" s="2">
        <f t="shared" si="11"/>
        <v>111</v>
      </c>
      <c r="U43" s="2">
        <f t="shared" si="12"/>
        <v>18.399999999999999</v>
      </c>
      <c r="V43" s="2">
        <f t="shared" si="13"/>
        <v>11.4</v>
      </c>
      <c r="W43" s="2">
        <f t="shared" si="15"/>
        <v>67.400000000000006</v>
      </c>
      <c r="X43" s="2">
        <f t="shared" si="16"/>
        <v>1.4</v>
      </c>
      <c r="Y43" s="2">
        <f t="shared" si="17"/>
        <v>0</v>
      </c>
      <c r="Z43" s="2">
        <f t="shared" si="18"/>
        <v>1.1000000000000001</v>
      </c>
      <c r="AA43" s="2">
        <v>170.2</v>
      </c>
      <c r="AB43" s="2">
        <v>68.8</v>
      </c>
      <c r="AC43" s="2">
        <f t="shared" si="14"/>
        <v>59.6</v>
      </c>
      <c r="AD43" s="2">
        <v>55</v>
      </c>
      <c r="AE43" s="2">
        <v>42</v>
      </c>
      <c r="AF43" t="s">
        <v>156</v>
      </c>
    </row>
    <row r="44" spans="1:33" x14ac:dyDescent="0.25">
      <c r="A44" s="12" t="s">
        <v>134</v>
      </c>
      <c r="B44" s="12" t="s">
        <v>23</v>
      </c>
      <c r="C44" s="12" t="s">
        <v>139</v>
      </c>
      <c r="D44" s="13" t="s">
        <v>140</v>
      </c>
      <c r="E44" s="1">
        <v>42419</v>
      </c>
      <c r="F44">
        <v>1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 cm="1">
        <f t="array" ref="L44">_xlfn.IFS(K44=1,0.5,K44=2,5.5,K44=3,18,K44=4,38,K44=5,63,K44=6,88)</f>
        <v>0.5</v>
      </c>
      <c r="M44" s="2">
        <f t="shared" si="10"/>
        <v>0.17</v>
      </c>
      <c r="N44" s="2">
        <v>0</v>
      </c>
      <c r="O44" s="2">
        <v>24.2</v>
      </c>
      <c r="P44" s="2">
        <f>139.6+91.2</f>
        <v>230.8</v>
      </c>
      <c r="Q44" s="2">
        <v>0</v>
      </c>
      <c r="R44" s="2">
        <v>0</v>
      </c>
      <c r="S44" s="2">
        <v>0.6</v>
      </c>
      <c r="T44" s="2">
        <f t="shared" si="11"/>
        <v>255.6</v>
      </c>
      <c r="U44" s="2">
        <f t="shared" si="12"/>
        <v>0</v>
      </c>
      <c r="V44" s="2">
        <f t="shared" si="13"/>
        <v>9.5</v>
      </c>
      <c r="W44" s="2">
        <f t="shared" si="15"/>
        <v>90.3</v>
      </c>
      <c r="X44" s="2">
        <f t="shared" si="16"/>
        <v>0</v>
      </c>
      <c r="Y44" s="2">
        <f t="shared" si="17"/>
        <v>0</v>
      </c>
      <c r="Z44" s="2">
        <f t="shared" si="18"/>
        <v>0.5</v>
      </c>
      <c r="AA44" s="2">
        <v>361.6</v>
      </c>
      <c r="AB44" s="2">
        <v>78.69</v>
      </c>
      <c r="AC44" s="2">
        <f t="shared" si="14"/>
        <v>78.2</v>
      </c>
      <c r="AD44" s="2">
        <v>66</v>
      </c>
      <c r="AE44" s="2">
        <v>61</v>
      </c>
      <c r="AF44" t="s">
        <v>151</v>
      </c>
    </row>
    <row r="45" spans="1:33" x14ac:dyDescent="0.25">
      <c r="A45" s="12" t="s">
        <v>134</v>
      </c>
      <c r="B45" s="12" t="s">
        <v>23</v>
      </c>
      <c r="C45" s="12" t="s">
        <v>139</v>
      </c>
      <c r="D45" s="13" t="s">
        <v>140</v>
      </c>
      <c r="E45" s="1">
        <v>42419</v>
      </c>
      <c r="F45">
        <v>2</v>
      </c>
      <c r="G45" s="2">
        <v>0</v>
      </c>
      <c r="H45" s="2">
        <v>0</v>
      </c>
      <c r="I45" s="2">
        <v>0</v>
      </c>
      <c r="J45" s="2">
        <v>0</v>
      </c>
      <c r="K45" s="2">
        <v>1</v>
      </c>
      <c r="L45" s="2" cm="1">
        <f t="array" ref="L45">_xlfn.IFS(K45=1,0.5,K45=2,5.5,K45=3,18,K45=4,38,K45=5,63,K45=6,88)</f>
        <v>0.5</v>
      </c>
      <c r="M45" s="2">
        <f t="shared" si="10"/>
        <v>0.17</v>
      </c>
      <c r="N45" s="2">
        <v>0</v>
      </c>
      <c r="O45" s="2">
        <v>26.4</v>
      </c>
      <c r="P45" s="2">
        <v>159.6</v>
      </c>
      <c r="Q45" s="2">
        <v>0</v>
      </c>
      <c r="R45" s="2">
        <v>0</v>
      </c>
      <c r="S45" s="2">
        <v>0</v>
      </c>
      <c r="T45" s="2">
        <f t="shared" si="11"/>
        <v>186</v>
      </c>
      <c r="U45" s="2">
        <f t="shared" si="12"/>
        <v>0</v>
      </c>
      <c r="V45" s="2">
        <f t="shared" si="13"/>
        <v>14.2</v>
      </c>
      <c r="W45" s="2">
        <f t="shared" si="15"/>
        <v>85.8</v>
      </c>
      <c r="X45" s="2">
        <f t="shared" si="16"/>
        <v>0</v>
      </c>
      <c r="Y45" s="2">
        <f t="shared" si="17"/>
        <v>0</v>
      </c>
      <c r="Z45" s="2">
        <f t="shared" si="18"/>
        <v>0</v>
      </c>
      <c r="AA45" s="2">
        <v>150.4</v>
      </c>
      <c r="AB45" s="2">
        <v>36.130000000000003</v>
      </c>
      <c r="AC45" s="2">
        <f t="shared" si="14"/>
        <v>76</v>
      </c>
      <c r="AD45" s="2">
        <v>74</v>
      </c>
      <c r="AE45" s="2">
        <v>24</v>
      </c>
      <c r="AF45" t="s">
        <v>152</v>
      </c>
    </row>
    <row r="46" spans="1:33" x14ac:dyDescent="0.25">
      <c r="A46" s="14" t="s">
        <v>134</v>
      </c>
      <c r="B46" s="14" t="s">
        <v>23</v>
      </c>
      <c r="C46" s="14" t="s">
        <v>139</v>
      </c>
      <c r="D46" s="15" t="s">
        <v>140</v>
      </c>
      <c r="E46" s="1">
        <v>42419</v>
      </c>
      <c r="F46">
        <v>3</v>
      </c>
      <c r="G46" s="2">
        <v>0</v>
      </c>
      <c r="H46" s="2">
        <v>0</v>
      </c>
      <c r="I46" s="2">
        <v>0</v>
      </c>
      <c r="J46" s="2">
        <v>0</v>
      </c>
      <c r="K46" s="2">
        <v>1</v>
      </c>
      <c r="L46" s="2" cm="1">
        <f t="array" ref="L46">_xlfn.IFS(K46=1,0.5,K46=2,5.5,K46=3,18,K46=4,38,K46=5,63,K46=6,88)</f>
        <v>0.5</v>
      </c>
      <c r="M46" s="2">
        <f t="shared" si="10"/>
        <v>0.17</v>
      </c>
      <c r="N46" s="2">
        <v>3</v>
      </c>
      <c r="O46" s="2">
        <v>31.2</v>
      </c>
      <c r="P46" s="2">
        <f>191.2+104</f>
        <v>295.2</v>
      </c>
      <c r="Q46" s="2">
        <v>1</v>
      </c>
      <c r="R46" s="2">
        <v>0</v>
      </c>
      <c r="S46" s="2">
        <v>0</v>
      </c>
      <c r="T46" s="2">
        <f t="shared" si="11"/>
        <v>330.4</v>
      </c>
      <c r="U46" s="2">
        <f t="shared" si="12"/>
        <v>0.9</v>
      </c>
      <c r="V46" s="2">
        <f t="shared" si="13"/>
        <v>9.4</v>
      </c>
      <c r="W46" s="2">
        <f t="shared" si="15"/>
        <v>89.3</v>
      </c>
      <c r="X46" s="2">
        <f t="shared" si="16"/>
        <v>0.8</v>
      </c>
      <c r="Y46" s="2">
        <f t="shared" si="17"/>
        <v>0</v>
      </c>
      <c r="Z46" s="2">
        <f t="shared" si="18"/>
        <v>0</v>
      </c>
      <c r="AA46" s="2">
        <v>346.8</v>
      </c>
      <c r="AB46" s="2">
        <v>85.5</v>
      </c>
      <c r="AC46" s="2">
        <f t="shared" si="14"/>
        <v>75.3</v>
      </c>
      <c r="AD46" s="2">
        <v>56</v>
      </c>
      <c r="AE46" s="2">
        <v>46</v>
      </c>
      <c r="AF46" t="s">
        <v>153</v>
      </c>
    </row>
    <row r="47" spans="1:33" x14ac:dyDescent="0.25">
      <c r="A47" s="10" t="s">
        <v>75</v>
      </c>
      <c r="B47" s="10" t="s">
        <v>82</v>
      </c>
      <c r="C47" s="10" t="s">
        <v>109</v>
      </c>
      <c r="D47" s="11" t="s">
        <v>110</v>
      </c>
      <c r="E47" s="1">
        <v>42417</v>
      </c>
      <c r="F47">
        <v>1</v>
      </c>
      <c r="G47" s="2">
        <v>408.3</v>
      </c>
      <c r="H47" s="2">
        <v>6</v>
      </c>
      <c r="I47" s="2">
        <v>15.1</v>
      </c>
      <c r="J47" s="2">
        <f>ROUND(H47/I47,2)</f>
        <v>0.4</v>
      </c>
      <c r="K47" s="2">
        <v>2</v>
      </c>
      <c r="L47" s="2" cm="1">
        <f t="array" ref="L47">_xlfn.IFS(K47=1,0.5,K47=2,5.5,K47=3,18,K47=4,38,K47=5,63,K47=6,88)</f>
        <v>5.5</v>
      </c>
      <c r="M47" s="2">
        <f t="shared" si="10"/>
        <v>1.03</v>
      </c>
      <c r="N47" s="2">
        <v>14.6</v>
      </c>
      <c r="O47" s="2">
        <v>59.6</v>
      </c>
      <c r="P47" s="2">
        <v>127.8</v>
      </c>
      <c r="Q47" s="2">
        <v>6.6</v>
      </c>
      <c r="R47" s="2">
        <v>0</v>
      </c>
      <c r="S47" s="2">
        <v>0</v>
      </c>
      <c r="T47" s="2">
        <f t="shared" si="11"/>
        <v>208.6</v>
      </c>
      <c r="U47" s="2">
        <f t="shared" si="12"/>
        <v>7</v>
      </c>
      <c r="V47" s="2">
        <f t="shared" si="13"/>
        <v>28.6</v>
      </c>
      <c r="W47" s="2">
        <f t="shared" si="15"/>
        <v>61.3</v>
      </c>
      <c r="X47" s="2">
        <f t="shared" si="16"/>
        <v>5.0999999999999996</v>
      </c>
      <c r="Y47" s="2">
        <f t="shared" si="17"/>
        <v>0</v>
      </c>
      <c r="Z47" s="2">
        <f t="shared" si="18"/>
        <v>0</v>
      </c>
      <c r="AA47" s="2">
        <v>189.2</v>
      </c>
      <c r="AB47" s="2">
        <v>88.02</v>
      </c>
      <c r="AC47" s="2">
        <f t="shared" si="14"/>
        <v>53.5</v>
      </c>
      <c r="AD47" s="2">
        <v>68</v>
      </c>
      <c r="AE47" s="2">
        <v>24</v>
      </c>
      <c r="AF47" t="s">
        <v>111</v>
      </c>
      <c r="AG47" s="16">
        <v>242.55000000000004</v>
      </c>
    </row>
    <row r="48" spans="1:33" x14ac:dyDescent="0.25">
      <c r="A48" s="10" t="s">
        <v>75</v>
      </c>
      <c r="B48" s="10" t="s">
        <v>82</v>
      </c>
      <c r="C48" s="10" t="s">
        <v>109</v>
      </c>
      <c r="D48" s="11" t="s">
        <v>110</v>
      </c>
      <c r="E48" s="1">
        <v>42417</v>
      </c>
      <c r="F48">
        <v>2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 cm="1">
        <f t="array" ref="L48">_xlfn.IFS(K48=1,0.5,K48=2,5.5,K48=3,18,K48=4,38,K48=5,63,K48=6,88)</f>
        <v>0.5</v>
      </c>
      <c r="M48" s="2">
        <f t="shared" si="10"/>
        <v>0.17</v>
      </c>
      <c r="N48" s="2">
        <v>18.600000000000001</v>
      </c>
      <c r="O48" s="2">
        <v>58.4</v>
      </c>
      <c r="P48" s="2">
        <v>136</v>
      </c>
      <c r="Q48" s="2">
        <v>5.2</v>
      </c>
      <c r="R48" s="2">
        <v>0</v>
      </c>
      <c r="S48" s="2">
        <v>0</v>
      </c>
      <c r="T48" s="2">
        <f t="shared" si="11"/>
        <v>218.2</v>
      </c>
      <c r="U48" s="2">
        <f t="shared" si="12"/>
        <v>8.5</v>
      </c>
      <c r="V48" s="2">
        <f t="shared" si="13"/>
        <v>26.8</v>
      </c>
      <c r="W48" s="2">
        <f t="shared" si="15"/>
        <v>62.3</v>
      </c>
      <c r="X48" s="2">
        <f t="shared" si="16"/>
        <v>4</v>
      </c>
      <c r="Y48" s="2">
        <f t="shared" si="17"/>
        <v>0</v>
      </c>
      <c r="Z48" s="2">
        <f t="shared" si="18"/>
        <v>0</v>
      </c>
      <c r="AA48" s="2">
        <v>101.8</v>
      </c>
      <c r="AB48" s="2">
        <v>55.94</v>
      </c>
      <c r="AC48" s="2">
        <f t="shared" si="14"/>
        <v>45</v>
      </c>
      <c r="AD48" s="2">
        <v>52</v>
      </c>
      <c r="AE48" s="2">
        <v>22.5</v>
      </c>
      <c r="AF48" t="s">
        <v>112</v>
      </c>
      <c r="AG48" s="16">
        <v>54.150000000000006</v>
      </c>
    </row>
    <row r="49" spans="1:33" x14ac:dyDescent="0.25">
      <c r="A49" s="10" t="s">
        <v>75</v>
      </c>
      <c r="B49" s="10" t="s">
        <v>82</v>
      </c>
      <c r="C49" s="10" t="s">
        <v>109</v>
      </c>
      <c r="D49" s="11" t="s">
        <v>110</v>
      </c>
      <c r="E49" s="1">
        <v>42417</v>
      </c>
      <c r="F49">
        <v>3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 cm="1">
        <f t="array" ref="L49">_xlfn.IFS(K49=1,0.5,K49=2,5.5,K49=3,18,K49=4,38,K49=5,63,K49=6,88)</f>
        <v>0.5</v>
      </c>
      <c r="M49" s="2">
        <f t="shared" si="10"/>
        <v>0.17</v>
      </c>
      <c r="N49" s="2">
        <v>2.4</v>
      </c>
      <c r="O49" s="2">
        <v>16.399999999999999</v>
      </c>
      <c r="P49" s="2">
        <v>40.4</v>
      </c>
      <c r="Q49" s="2">
        <v>3</v>
      </c>
      <c r="R49" s="2">
        <v>2.8</v>
      </c>
      <c r="S49" s="2">
        <v>0</v>
      </c>
      <c r="T49" s="2">
        <f t="shared" si="11"/>
        <v>65</v>
      </c>
      <c r="U49" s="2">
        <f t="shared" si="12"/>
        <v>3.7</v>
      </c>
      <c r="V49" s="2">
        <f t="shared" si="13"/>
        <v>25.2</v>
      </c>
      <c r="W49" s="2">
        <f t="shared" si="15"/>
        <v>62.2</v>
      </c>
      <c r="X49" s="2">
        <f t="shared" si="16"/>
        <v>2.2999999999999998</v>
      </c>
      <c r="Y49" s="2">
        <f t="shared" si="17"/>
        <v>2.2000000000000002</v>
      </c>
      <c r="Z49" s="2">
        <f t="shared" si="18"/>
        <v>0</v>
      </c>
      <c r="AA49" s="2">
        <v>171.4</v>
      </c>
      <c r="AB49" s="2">
        <v>95.25</v>
      </c>
      <c r="AC49" s="2">
        <f t="shared" si="14"/>
        <v>44.4</v>
      </c>
      <c r="AD49" s="2">
        <v>67</v>
      </c>
      <c r="AE49" s="2">
        <v>24.5</v>
      </c>
      <c r="AF49" t="s">
        <v>113</v>
      </c>
      <c r="AG49" s="16">
        <v>100.35</v>
      </c>
    </row>
    <row r="50" spans="1:33" x14ac:dyDescent="0.25">
      <c r="A50" s="10" t="s">
        <v>75</v>
      </c>
      <c r="B50" s="10" t="s">
        <v>82</v>
      </c>
      <c r="C50" s="10" t="s">
        <v>114</v>
      </c>
      <c r="D50" s="11" t="s">
        <v>115</v>
      </c>
      <c r="E50" s="1">
        <v>42417</v>
      </c>
      <c r="F50">
        <v>1</v>
      </c>
      <c r="G50" s="2">
        <v>480.3</v>
      </c>
      <c r="H50" s="2">
        <v>8</v>
      </c>
      <c r="I50" s="2">
        <v>13.2</v>
      </c>
      <c r="J50" s="2">
        <f t="shared" ref="J50:J57" si="19">ROUND(H50/I50,2)</f>
        <v>0.61</v>
      </c>
      <c r="K50" s="2">
        <v>2</v>
      </c>
      <c r="L50" s="2" cm="1">
        <f t="array" ref="L50">_xlfn.IFS(K50=1,0.5,K50=2,5.5,K50=3,18,K50=4,38,K50=5,63,K50=6,88)</f>
        <v>5.5</v>
      </c>
      <c r="M50" s="2">
        <f t="shared" si="10"/>
        <v>1.22</v>
      </c>
      <c r="N50" s="2">
        <v>22.4</v>
      </c>
      <c r="O50" s="2">
        <v>23.8</v>
      </c>
      <c r="P50" s="2">
        <v>55</v>
      </c>
      <c r="Q50" s="2">
        <v>0</v>
      </c>
      <c r="R50" s="2">
        <v>0</v>
      </c>
      <c r="S50" s="2">
        <v>0</v>
      </c>
      <c r="T50" s="2">
        <f t="shared" si="11"/>
        <v>101.2</v>
      </c>
      <c r="U50" s="2">
        <f t="shared" si="12"/>
        <v>22.1</v>
      </c>
      <c r="V50" s="2">
        <f t="shared" si="13"/>
        <v>23.5</v>
      </c>
      <c r="W50" s="2">
        <f t="shared" si="15"/>
        <v>54.3</v>
      </c>
      <c r="X50" s="2">
        <f t="shared" si="16"/>
        <v>0</v>
      </c>
      <c r="Y50" s="2">
        <f t="shared" si="17"/>
        <v>0</v>
      </c>
      <c r="Z50" s="2">
        <f t="shared" si="18"/>
        <v>0</v>
      </c>
      <c r="AA50" s="2">
        <v>262.2</v>
      </c>
      <c r="AB50" s="2">
        <v>135.02000000000001</v>
      </c>
      <c r="AC50" s="2">
        <f t="shared" si="14"/>
        <v>48.5</v>
      </c>
      <c r="AD50" s="2">
        <v>62</v>
      </c>
      <c r="AE50" s="2">
        <v>41</v>
      </c>
      <c r="AF50" t="s">
        <v>116</v>
      </c>
      <c r="AG50" s="16">
        <v>313.35000000000002</v>
      </c>
    </row>
    <row r="51" spans="1:33" x14ac:dyDescent="0.25">
      <c r="A51" s="10" t="s">
        <v>75</v>
      </c>
      <c r="B51" s="10" t="s">
        <v>82</v>
      </c>
      <c r="C51" s="10" t="s">
        <v>114</v>
      </c>
      <c r="D51" s="11" t="s">
        <v>115</v>
      </c>
      <c r="E51" s="1">
        <v>42417</v>
      </c>
      <c r="F51">
        <v>2</v>
      </c>
      <c r="G51" s="2">
        <v>587</v>
      </c>
      <c r="H51" s="2">
        <v>8</v>
      </c>
      <c r="I51" s="2">
        <v>11.2</v>
      </c>
      <c r="J51" s="2">
        <f t="shared" si="19"/>
        <v>0.71</v>
      </c>
      <c r="K51" s="2">
        <v>2</v>
      </c>
      <c r="L51" s="2" cm="1">
        <f t="array" ref="L51">_xlfn.IFS(K51=1,0.5,K51=2,5.5,K51=3,18,K51=4,38,K51=5,63,K51=6,88)</f>
        <v>5.5</v>
      </c>
      <c r="M51" s="2">
        <f t="shared" si="10"/>
        <v>1.4</v>
      </c>
      <c r="N51" s="2">
        <v>2.6</v>
      </c>
      <c r="O51" s="2">
        <v>13.8</v>
      </c>
      <c r="P51" s="2">
        <v>44.4</v>
      </c>
      <c r="Q51" s="2">
        <v>0.2</v>
      </c>
      <c r="R51" s="2">
        <v>0.2</v>
      </c>
      <c r="S51" s="2">
        <v>0</v>
      </c>
      <c r="T51" s="2">
        <f t="shared" si="11"/>
        <v>61.2</v>
      </c>
      <c r="U51" s="2">
        <f t="shared" si="12"/>
        <v>4.2</v>
      </c>
      <c r="V51" s="2">
        <f t="shared" si="13"/>
        <v>22.5</v>
      </c>
      <c r="W51" s="2">
        <f t="shared" si="15"/>
        <v>72.5</v>
      </c>
      <c r="X51" s="2">
        <f t="shared" si="16"/>
        <v>0.2</v>
      </c>
      <c r="Y51" s="2">
        <f t="shared" si="17"/>
        <v>0.2</v>
      </c>
      <c r="Z51" s="2">
        <f t="shared" si="18"/>
        <v>0</v>
      </c>
      <c r="AA51" s="2">
        <v>58</v>
      </c>
      <c r="AB51" s="2">
        <v>32.979999999999997</v>
      </c>
      <c r="AC51" s="2">
        <f t="shared" si="14"/>
        <v>43.1</v>
      </c>
      <c r="AD51" s="2">
        <v>40</v>
      </c>
      <c r="AE51" s="2">
        <v>44</v>
      </c>
      <c r="AF51" t="s">
        <v>117</v>
      </c>
      <c r="AG51" s="16">
        <v>33.150000000000006</v>
      </c>
    </row>
    <row r="52" spans="1:33" x14ac:dyDescent="0.25">
      <c r="A52" s="10" t="s">
        <v>75</v>
      </c>
      <c r="B52" s="10" t="s">
        <v>82</v>
      </c>
      <c r="C52" s="10" t="s">
        <v>114</v>
      </c>
      <c r="D52" s="11" t="s">
        <v>115</v>
      </c>
      <c r="E52" s="1">
        <v>42417</v>
      </c>
      <c r="F52">
        <v>3</v>
      </c>
      <c r="G52" s="2">
        <v>597.6</v>
      </c>
      <c r="H52" s="2">
        <v>6</v>
      </c>
      <c r="I52" s="2">
        <v>6</v>
      </c>
      <c r="J52" s="2">
        <f t="shared" si="19"/>
        <v>1</v>
      </c>
      <c r="K52" s="2">
        <v>2</v>
      </c>
      <c r="L52" s="2" cm="1">
        <f t="array" ref="L52">_xlfn.IFS(K52=1,0.5,K52=2,5.5,K52=3,18,K52=4,38,K52=5,63,K52=6,88)</f>
        <v>5.5</v>
      </c>
      <c r="M52" s="2">
        <f t="shared" si="10"/>
        <v>1.55</v>
      </c>
      <c r="N52" s="2">
        <v>13.8</v>
      </c>
      <c r="O52" s="2">
        <v>19</v>
      </c>
      <c r="P52" s="2">
        <v>32.799999999999997</v>
      </c>
      <c r="Q52" s="2">
        <v>0</v>
      </c>
      <c r="R52" s="2">
        <v>0</v>
      </c>
      <c r="S52" s="2">
        <v>0</v>
      </c>
      <c r="T52" s="2">
        <f t="shared" si="11"/>
        <v>65.599999999999994</v>
      </c>
      <c r="U52" s="2">
        <f t="shared" si="12"/>
        <v>21</v>
      </c>
      <c r="V52" s="2">
        <f t="shared" si="13"/>
        <v>29</v>
      </c>
      <c r="W52" s="2">
        <f t="shared" si="15"/>
        <v>50</v>
      </c>
      <c r="X52" s="2">
        <f t="shared" si="16"/>
        <v>0</v>
      </c>
      <c r="Y52" s="2">
        <f t="shared" si="17"/>
        <v>0</v>
      </c>
      <c r="Z52" s="2">
        <f t="shared" si="18"/>
        <v>0</v>
      </c>
      <c r="AA52" s="2">
        <v>99.1</v>
      </c>
      <c r="AB52" s="2">
        <v>57.04</v>
      </c>
      <c r="AC52" s="2">
        <f t="shared" si="14"/>
        <v>42.4</v>
      </c>
      <c r="AD52" s="2">
        <v>48</v>
      </c>
      <c r="AE52" s="2">
        <v>62</v>
      </c>
      <c r="AF52" t="s">
        <v>118</v>
      </c>
      <c r="AG52" s="16">
        <v>65.949999999999989</v>
      </c>
    </row>
    <row r="53" spans="1:33" x14ac:dyDescent="0.25">
      <c r="A53" s="10" t="s">
        <v>75</v>
      </c>
      <c r="B53" s="10" t="s">
        <v>82</v>
      </c>
      <c r="C53" s="10" t="s">
        <v>99</v>
      </c>
      <c r="D53" s="11" t="s">
        <v>100</v>
      </c>
      <c r="E53" s="1">
        <v>42417</v>
      </c>
      <c r="F53">
        <v>1</v>
      </c>
      <c r="G53" s="2">
        <v>800</v>
      </c>
      <c r="H53" s="2">
        <v>22</v>
      </c>
      <c r="I53" s="2">
        <v>41.2</v>
      </c>
      <c r="J53" s="2">
        <f t="shared" si="19"/>
        <v>0.53</v>
      </c>
      <c r="K53" s="2">
        <v>6</v>
      </c>
      <c r="L53" s="2" cm="1">
        <f t="array" ref="L53">_xlfn.IFS(K53=1,0.5,K53=2,5.5,K53=3,18,K53=4,38,K53=5,63,K53=6,88)</f>
        <v>88</v>
      </c>
      <c r="M53" s="2">
        <f t="shared" si="10"/>
        <v>2.25</v>
      </c>
      <c r="N53" s="2">
        <v>2.4</v>
      </c>
      <c r="O53" s="2">
        <v>5.2</v>
      </c>
      <c r="P53" s="2">
        <v>15.4</v>
      </c>
      <c r="Q53" s="2">
        <v>0</v>
      </c>
      <c r="R53" s="2">
        <v>0</v>
      </c>
      <c r="S53" s="2">
        <v>0</v>
      </c>
      <c r="T53" s="2">
        <f t="shared" si="11"/>
        <v>23</v>
      </c>
      <c r="U53" s="2">
        <f t="shared" si="12"/>
        <v>10.4</v>
      </c>
      <c r="V53" s="2">
        <f t="shared" si="13"/>
        <v>22.6</v>
      </c>
      <c r="W53" s="2">
        <f t="shared" si="15"/>
        <v>67</v>
      </c>
      <c r="X53" s="2">
        <f t="shared" si="16"/>
        <v>0</v>
      </c>
      <c r="Y53" s="2">
        <f t="shared" si="17"/>
        <v>0</v>
      </c>
      <c r="Z53" s="2">
        <f t="shared" si="18"/>
        <v>0</v>
      </c>
      <c r="AA53" s="2">
        <v>102.8</v>
      </c>
      <c r="AB53" s="2">
        <v>58.93</v>
      </c>
      <c r="AC53" s="2">
        <f t="shared" si="14"/>
        <v>42.7</v>
      </c>
      <c r="AD53" s="2">
        <v>56</v>
      </c>
      <c r="AE53" s="2">
        <v>32</v>
      </c>
      <c r="AF53" t="s">
        <v>101</v>
      </c>
      <c r="AG53" s="16">
        <v>56.549999999999983</v>
      </c>
    </row>
    <row r="54" spans="1:33" x14ac:dyDescent="0.25">
      <c r="A54" s="10" t="s">
        <v>75</v>
      </c>
      <c r="B54" s="10" t="s">
        <v>82</v>
      </c>
      <c r="C54" s="10" t="s">
        <v>99</v>
      </c>
      <c r="D54" s="11" t="s">
        <v>100</v>
      </c>
      <c r="E54" s="1">
        <v>42417</v>
      </c>
      <c r="F54">
        <v>2</v>
      </c>
      <c r="G54" s="2">
        <v>800</v>
      </c>
      <c r="H54" s="2">
        <v>26</v>
      </c>
      <c r="I54" s="2">
        <v>63.6</v>
      </c>
      <c r="J54" s="2">
        <f t="shared" si="19"/>
        <v>0.41</v>
      </c>
      <c r="K54" s="2">
        <v>6</v>
      </c>
      <c r="L54" s="2" cm="1">
        <f t="array" ref="L54">_xlfn.IFS(K54=1,0.5,K54=2,5.5,K54=3,18,K54=4,38,K54=5,63,K54=6,88)</f>
        <v>88</v>
      </c>
      <c r="M54" s="2">
        <f t="shared" si="10"/>
        <v>2.19</v>
      </c>
      <c r="N54" s="2">
        <v>36.6</v>
      </c>
      <c r="O54" s="2">
        <v>0.8</v>
      </c>
      <c r="P54" s="2">
        <v>48.2</v>
      </c>
      <c r="Q54" s="2">
        <v>0</v>
      </c>
      <c r="R54" s="2">
        <v>0</v>
      </c>
      <c r="S54" s="2">
        <v>0</v>
      </c>
      <c r="T54" s="2">
        <f t="shared" si="11"/>
        <v>85.6</v>
      </c>
      <c r="U54" s="2">
        <f t="shared" si="12"/>
        <v>42.8</v>
      </c>
      <c r="V54" s="2">
        <f t="shared" si="13"/>
        <v>0.9</v>
      </c>
      <c r="W54" s="2">
        <f t="shared" si="15"/>
        <v>56.3</v>
      </c>
      <c r="X54" s="2">
        <f t="shared" si="16"/>
        <v>0</v>
      </c>
      <c r="Y54" s="2">
        <f t="shared" si="17"/>
        <v>0</v>
      </c>
      <c r="Z54" s="2">
        <f t="shared" si="18"/>
        <v>0</v>
      </c>
      <c r="AA54" s="2">
        <v>39.4</v>
      </c>
      <c r="AB54" s="2">
        <v>25.83</v>
      </c>
      <c r="AC54" s="2">
        <f t="shared" si="14"/>
        <v>34.4</v>
      </c>
      <c r="AD54" s="2">
        <v>54</v>
      </c>
      <c r="AE54" s="2">
        <v>11</v>
      </c>
      <c r="AF54" t="s">
        <v>102</v>
      </c>
      <c r="AG54" s="16">
        <v>18.150000000000006</v>
      </c>
    </row>
    <row r="55" spans="1:33" x14ac:dyDescent="0.25">
      <c r="A55" s="10" t="s">
        <v>75</v>
      </c>
      <c r="B55" s="10" t="s">
        <v>82</v>
      </c>
      <c r="C55" s="10" t="s">
        <v>99</v>
      </c>
      <c r="D55" s="11" t="s">
        <v>100</v>
      </c>
      <c r="E55" s="1">
        <v>42417</v>
      </c>
      <c r="F55">
        <v>3</v>
      </c>
      <c r="G55" s="2">
        <v>717.3</v>
      </c>
      <c r="H55" s="2">
        <v>8</v>
      </c>
      <c r="I55" s="2">
        <v>18.2</v>
      </c>
      <c r="J55" s="2">
        <f t="shared" si="19"/>
        <v>0.44</v>
      </c>
      <c r="K55" s="2">
        <v>4</v>
      </c>
      <c r="L55" s="2" cm="1">
        <f t="array" ref="L55">_xlfn.IFS(K55=1,0.5,K55=2,5.5,K55=3,18,K55=4,38,K55=5,63,K55=6,88)</f>
        <v>38</v>
      </c>
      <c r="M55" s="2">
        <f t="shared" si="10"/>
        <v>1.77</v>
      </c>
      <c r="N55" s="2">
        <v>5.6</v>
      </c>
      <c r="O55" s="2">
        <v>7.8</v>
      </c>
      <c r="P55" s="2">
        <v>31.6</v>
      </c>
      <c r="Q55" s="2">
        <v>0.2</v>
      </c>
      <c r="R55" s="2">
        <v>0</v>
      </c>
      <c r="S55" s="2">
        <v>0</v>
      </c>
      <c r="T55" s="2">
        <f t="shared" si="11"/>
        <v>45.2</v>
      </c>
      <c r="U55" s="2">
        <f t="shared" si="12"/>
        <v>12.4</v>
      </c>
      <c r="V55" s="2">
        <f t="shared" si="13"/>
        <v>17.3</v>
      </c>
      <c r="W55" s="2">
        <f t="shared" si="15"/>
        <v>69.900000000000006</v>
      </c>
      <c r="X55" s="2">
        <f t="shared" si="16"/>
        <v>0.2</v>
      </c>
      <c r="Y55" s="2">
        <f t="shared" si="17"/>
        <v>0</v>
      </c>
      <c r="Z55" s="2">
        <f t="shared" si="18"/>
        <v>0</v>
      </c>
      <c r="AA55" s="2">
        <v>123.8</v>
      </c>
      <c r="AB55" s="2">
        <v>74.45</v>
      </c>
      <c r="AC55" s="2">
        <f t="shared" si="14"/>
        <v>39.9</v>
      </c>
      <c r="AD55" s="2">
        <v>53</v>
      </c>
      <c r="AE55" s="2">
        <v>27</v>
      </c>
      <c r="AF55" t="s">
        <v>103</v>
      </c>
      <c r="AG55" s="16">
        <v>206.15</v>
      </c>
    </row>
    <row r="56" spans="1:33" x14ac:dyDescent="0.25">
      <c r="A56" s="10" t="s">
        <v>75</v>
      </c>
      <c r="B56" s="10" t="s">
        <v>82</v>
      </c>
      <c r="C56" s="10" t="s">
        <v>104</v>
      </c>
      <c r="D56" s="11" t="s">
        <v>105</v>
      </c>
      <c r="E56" s="1">
        <v>42417</v>
      </c>
      <c r="F56">
        <v>1</v>
      </c>
      <c r="G56" s="2">
        <v>561.79999999999995</v>
      </c>
      <c r="H56" s="2">
        <v>9</v>
      </c>
      <c r="I56" s="2">
        <v>19.5</v>
      </c>
      <c r="J56" s="2">
        <f t="shared" si="19"/>
        <v>0.46</v>
      </c>
      <c r="K56" s="2">
        <v>3</v>
      </c>
      <c r="L56" s="2" cm="1">
        <f t="array" ref="L56">_xlfn.IFS(K56=1,0.5,K56=2,5.5,K56=3,18,K56=4,38,K56=5,63,K56=6,88)</f>
        <v>18</v>
      </c>
      <c r="M56" s="2">
        <f t="shared" si="10"/>
        <v>1.42</v>
      </c>
      <c r="N56" s="2">
        <v>0.8</v>
      </c>
      <c r="O56" s="2">
        <v>20</v>
      </c>
      <c r="P56" s="2">
        <v>65.599999999999994</v>
      </c>
      <c r="Q56" s="2">
        <v>0</v>
      </c>
      <c r="R56" s="2">
        <v>0</v>
      </c>
      <c r="S56" s="2">
        <v>0</v>
      </c>
      <c r="T56" s="2">
        <f t="shared" si="11"/>
        <v>86.399999999999991</v>
      </c>
      <c r="U56" s="2">
        <f t="shared" si="12"/>
        <v>0.9</v>
      </c>
      <c r="V56" s="2">
        <f t="shared" si="13"/>
        <v>23.1</v>
      </c>
      <c r="W56" s="2">
        <f t="shared" si="15"/>
        <v>75.900000000000006</v>
      </c>
      <c r="X56" s="2">
        <f t="shared" si="16"/>
        <v>0</v>
      </c>
      <c r="Y56" s="2">
        <f t="shared" si="17"/>
        <v>0</v>
      </c>
      <c r="Z56" s="2">
        <f t="shared" si="18"/>
        <v>0</v>
      </c>
      <c r="AA56" s="2">
        <v>183.6</v>
      </c>
      <c r="AB56" s="2">
        <v>91.3</v>
      </c>
      <c r="AC56" s="2">
        <f t="shared" si="14"/>
        <v>50.3</v>
      </c>
      <c r="AD56" s="2">
        <v>58</v>
      </c>
      <c r="AE56" s="2">
        <v>73</v>
      </c>
      <c r="AF56" t="s">
        <v>106</v>
      </c>
      <c r="AG56" s="16">
        <v>234.74999999999997</v>
      </c>
    </row>
    <row r="57" spans="1:33" x14ac:dyDescent="0.25">
      <c r="A57" s="10" t="s">
        <v>75</v>
      </c>
      <c r="B57" s="10" t="s">
        <v>82</v>
      </c>
      <c r="C57" s="10" t="s">
        <v>104</v>
      </c>
      <c r="D57" s="11" t="s">
        <v>105</v>
      </c>
      <c r="E57" s="1">
        <v>42417</v>
      </c>
      <c r="F57">
        <v>2</v>
      </c>
      <c r="G57" s="2">
        <v>681.9</v>
      </c>
      <c r="H57" s="2">
        <v>13.5</v>
      </c>
      <c r="I57" s="2">
        <v>18.2</v>
      </c>
      <c r="J57" s="2">
        <f t="shared" si="19"/>
        <v>0.74</v>
      </c>
      <c r="K57" s="2">
        <v>3</v>
      </c>
      <c r="L57" s="2" cm="1">
        <f t="array" ref="L57">_xlfn.IFS(K57=1,0.5,K57=2,5.5,K57=3,18,K57=4,38,K57=5,63,K57=6,88)</f>
        <v>18</v>
      </c>
      <c r="M57" s="2">
        <f t="shared" si="10"/>
        <v>1.7</v>
      </c>
      <c r="N57" s="2">
        <v>6.4</v>
      </c>
      <c r="O57" s="2">
        <v>0</v>
      </c>
      <c r="P57" s="2">
        <v>52.4</v>
      </c>
      <c r="Q57" s="2">
        <v>0</v>
      </c>
      <c r="R57" s="2">
        <v>0</v>
      </c>
      <c r="S57" s="2">
        <v>0</v>
      </c>
      <c r="T57" s="2">
        <f t="shared" si="11"/>
        <v>58.8</v>
      </c>
      <c r="U57" s="2">
        <f t="shared" si="12"/>
        <v>10.9</v>
      </c>
      <c r="V57" s="2">
        <f t="shared" si="13"/>
        <v>0</v>
      </c>
      <c r="W57" s="2">
        <f t="shared" si="15"/>
        <v>89.1</v>
      </c>
      <c r="X57" s="2">
        <f t="shared" si="16"/>
        <v>0</v>
      </c>
      <c r="Y57" s="2">
        <f t="shared" si="17"/>
        <v>0</v>
      </c>
      <c r="Z57" s="2">
        <f t="shared" si="18"/>
        <v>0</v>
      </c>
      <c r="AA57" s="2">
        <v>120.8</v>
      </c>
      <c r="AB57" s="2">
        <v>56.86</v>
      </c>
      <c r="AC57" s="2">
        <f t="shared" si="14"/>
        <v>52.9</v>
      </c>
      <c r="AD57" s="2">
        <v>72</v>
      </c>
      <c r="AE57" s="2">
        <v>45.5</v>
      </c>
      <c r="AF57" t="s">
        <v>107</v>
      </c>
      <c r="AG57" s="16">
        <v>102.57</v>
      </c>
    </row>
    <row r="58" spans="1:33" x14ac:dyDescent="0.25">
      <c r="A58" s="10" t="s">
        <v>75</v>
      </c>
      <c r="B58" s="10" t="s">
        <v>82</v>
      </c>
      <c r="C58" s="10" t="s">
        <v>104</v>
      </c>
      <c r="D58" s="11" t="s">
        <v>105</v>
      </c>
      <c r="E58" s="1">
        <v>42417</v>
      </c>
      <c r="F58">
        <v>3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 cm="1">
        <f t="array" ref="L58">_xlfn.IFS(K58=1,0.5,K58=2,5.5,K58=3,18,K58=4,38,K58=5,63,K58=6,88)</f>
        <v>0.5</v>
      </c>
      <c r="M58" s="2">
        <f t="shared" si="10"/>
        <v>0.17</v>
      </c>
      <c r="N58" s="2">
        <v>3.8</v>
      </c>
      <c r="O58" s="2">
        <v>12.4</v>
      </c>
      <c r="P58" s="2">
        <v>48.4</v>
      </c>
      <c r="Q58" s="2">
        <v>0</v>
      </c>
      <c r="R58" s="2">
        <v>0</v>
      </c>
      <c r="S58" s="2">
        <v>0</v>
      </c>
      <c r="T58" s="2">
        <f t="shared" si="11"/>
        <v>64.599999999999994</v>
      </c>
      <c r="U58" s="2">
        <f t="shared" si="12"/>
        <v>5.9</v>
      </c>
      <c r="V58" s="2">
        <f t="shared" si="13"/>
        <v>19.2</v>
      </c>
      <c r="W58" s="2">
        <f t="shared" si="15"/>
        <v>74.900000000000006</v>
      </c>
      <c r="X58" s="2">
        <f t="shared" si="16"/>
        <v>0</v>
      </c>
      <c r="Y58" s="2">
        <f t="shared" si="17"/>
        <v>0</v>
      </c>
      <c r="Z58" s="2">
        <f t="shared" si="18"/>
        <v>0</v>
      </c>
      <c r="AA58" s="2">
        <v>197.4</v>
      </c>
      <c r="AB58" s="2">
        <v>87.59</v>
      </c>
      <c r="AC58" s="2">
        <f t="shared" si="14"/>
        <v>55.6</v>
      </c>
      <c r="AD58" s="2">
        <v>72</v>
      </c>
      <c r="AE58" s="2">
        <v>51</v>
      </c>
      <c r="AF58" t="s">
        <v>108</v>
      </c>
      <c r="AG58" s="16">
        <v>244.74999999999997</v>
      </c>
    </row>
    <row r="59" spans="1:33" x14ac:dyDescent="0.25">
      <c r="A59" s="10" t="s">
        <v>75</v>
      </c>
      <c r="B59" s="10" t="s">
        <v>82</v>
      </c>
      <c r="C59" s="10" t="s">
        <v>83</v>
      </c>
      <c r="D59" s="11" t="s">
        <v>84</v>
      </c>
      <c r="E59" s="1">
        <v>42417</v>
      </c>
      <c r="F59">
        <v>1</v>
      </c>
      <c r="G59" s="2">
        <v>732</v>
      </c>
      <c r="H59" s="2">
        <v>8</v>
      </c>
      <c r="I59" s="2">
        <v>13.7</v>
      </c>
      <c r="J59" s="2">
        <f t="shared" ref="J59:J79" si="20">ROUND(H59/I59,2)</f>
        <v>0.57999999999999996</v>
      </c>
      <c r="K59" s="2">
        <v>3</v>
      </c>
      <c r="L59" s="2" cm="1">
        <f t="array" ref="L59">_xlfn.IFS(K59=1,0.5,K59=2,5.5,K59=3,18,K59=4,38,K59=5,63,K59=6,88)</f>
        <v>18</v>
      </c>
      <c r="M59" s="2">
        <f t="shared" si="10"/>
        <v>1.69</v>
      </c>
      <c r="N59" s="2">
        <v>8.1999999999999993</v>
      </c>
      <c r="O59" s="2">
        <v>22.4</v>
      </c>
      <c r="P59" s="2">
        <v>24.4</v>
      </c>
      <c r="Q59" s="2">
        <v>0</v>
      </c>
      <c r="R59" s="2">
        <v>0</v>
      </c>
      <c r="S59" s="2">
        <v>0</v>
      </c>
      <c r="T59" s="2">
        <f t="shared" si="11"/>
        <v>55</v>
      </c>
      <c r="U59" s="2">
        <f t="shared" si="12"/>
        <v>14.9</v>
      </c>
      <c r="V59" s="2">
        <f t="shared" si="13"/>
        <v>40.700000000000003</v>
      </c>
      <c r="W59" s="2">
        <f t="shared" si="15"/>
        <v>44.4</v>
      </c>
      <c r="X59" s="2">
        <f t="shared" si="16"/>
        <v>0</v>
      </c>
      <c r="Y59" s="2">
        <f t="shared" si="17"/>
        <v>0</v>
      </c>
      <c r="Z59" s="2">
        <f t="shared" si="18"/>
        <v>0</v>
      </c>
      <c r="AA59" s="2">
        <v>210.8</v>
      </c>
      <c r="AB59" s="2">
        <v>110.88</v>
      </c>
      <c r="AC59" s="2">
        <f t="shared" si="14"/>
        <v>47.4</v>
      </c>
      <c r="AD59" s="2">
        <v>43</v>
      </c>
      <c r="AE59" s="2">
        <v>78</v>
      </c>
      <c r="AF59" t="s">
        <v>85</v>
      </c>
      <c r="AG59" s="16">
        <v>279.14999999999998</v>
      </c>
    </row>
    <row r="60" spans="1:33" x14ac:dyDescent="0.25">
      <c r="A60" s="10" t="s">
        <v>75</v>
      </c>
      <c r="B60" s="10" t="s">
        <v>82</v>
      </c>
      <c r="C60" s="10" t="s">
        <v>83</v>
      </c>
      <c r="D60" s="11" t="s">
        <v>84</v>
      </c>
      <c r="E60" s="1">
        <v>42417</v>
      </c>
      <c r="F60">
        <v>2</v>
      </c>
      <c r="G60" s="2">
        <v>578.20000000000005</v>
      </c>
      <c r="H60" s="2">
        <v>25</v>
      </c>
      <c r="I60" s="2">
        <v>17.899999999999999</v>
      </c>
      <c r="J60" s="2">
        <f t="shared" si="20"/>
        <v>1.4</v>
      </c>
      <c r="K60" s="2">
        <v>4</v>
      </c>
      <c r="L60" s="2" cm="1">
        <f t="array" ref="L60">_xlfn.IFS(K60=1,0.5,K60=2,5.5,K60=3,18,K60=4,38,K60=5,63,K60=6,88)</f>
        <v>38</v>
      </c>
      <c r="M60" s="2">
        <f t="shared" si="10"/>
        <v>2.0499999999999998</v>
      </c>
      <c r="N60" s="2">
        <v>5.4</v>
      </c>
      <c r="O60" s="2">
        <v>6.8</v>
      </c>
      <c r="P60" s="2">
        <v>60.6</v>
      </c>
      <c r="Q60" s="2">
        <v>0</v>
      </c>
      <c r="R60" s="2">
        <v>0</v>
      </c>
      <c r="S60" s="2">
        <v>0</v>
      </c>
      <c r="T60" s="2">
        <f t="shared" si="11"/>
        <v>72.8</v>
      </c>
      <c r="U60" s="2">
        <f t="shared" si="12"/>
        <v>7.4</v>
      </c>
      <c r="V60" s="2">
        <f t="shared" si="13"/>
        <v>9.3000000000000007</v>
      </c>
      <c r="W60" s="2">
        <f t="shared" si="15"/>
        <v>83.2</v>
      </c>
      <c r="X60" s="2">
        <f t="shared" si="16"/>
        <v>0</v>
      </c>
      <c r="Y60" s="2">
        <f t="shared" si="17"/>
        <v>0</v>
      </c>
      <c r="Z60" s="2">
        <f t="shared" si="18"/>
        <v>0</v>
      </c>
      <c r="AA60" s="2">
        <v>235</v>
      </c>
      <c r="AB60" s="2">
        <v>129.91999999999999</v>
      </c>
      <c r="AC60" s="2">
        <f t="shared" si="14"/>
        <v>44.7</v>
      </c>
      <c r="AD60" s="2">
        <v>53</v>
      </c>
      <c r="AE60" s="2">
        <v>49</v>
      </c>
      <c r="AF60" t="s">
        <v>86</v>
      </c>
      <c r="AG60" s="16">
        <v>469.68333333333328</v>
      </c>
    </row>
    <row r="61" spans="1:33" x14ac:dyDescent="0.25">
      <c r="A61" s="10" t="s">
        <v>75</v>
      </c>
      <c r="B61" s="10" t="s">
        <v>82</v>
      </c>
      <c r="C61" s="10" t="s">
        <v>83</v>
      </c>
      <c r="D61" s="11" t="s">
        <v>84</v>
      </c>
      <c r="E61" s="1">
        <v>42417</v>
      </c>
      <c r="F61">
        <v>3</v>
      </c>
      <c r="G61" s="2">
        <v>778.9</v>
      </c>
      <c r="H61" s="2">
        <v>28</v>
      </c>
      <c r="I61" s="2">
        <v>35.200000000000003</v>
      </c>
      <c r="J61" s="2">
        <f t="shared" si="20"/>
        <v>0.8</v>
      </c>
      <c r="K61" s="2">
        <v>5</v>
      </c>
      <c r="L61" s="2" cm="1">
        <f t="array" ref="L61">_xlfn.IFS(K61=1,0.5,K61=2,5.5,K61=3,18,K61=4,38,K61=5,63,K61=6,88)</f>
        <v>63</v>
      </c>
      <c r="M61" s="2">
        <f t="shared" si="10"/>
        <v>2.19</v>
      </c>
      <c r="N61" s="2">
        <v>18</v>
      </c>
      <c r="O61" s="2">
        <v>32.4</v>
      </c>
      <c r="P61" s="2">
        <v>59.8</v>
      </c>
      <c r="Q61" s="2">
        <v>0</v>
      </c>
      <c r="R61" s="2">
        <v>0</v>
      </c>
      <c r="S61" s="2">
        <v>0</v>
      </c>
      <c r="T61" s="2">
        <f t="shared" si="11"/>
        <v>110.19999999999999</v>
      </c>
      <c r="U61" s="2">
        <f t="shared" si="12"/>
        <v>16.3</v>
      </c>
      <c r="V61" s="2">
        <f t="shared" si="13"/>
        <v>29.4</v>
      </c>
      <c r="W61" s="2">
        <f t="shared" si="15"/>
        <v>54.3</v>
      </c>
      <c r="X61" s="2">
        <f t="shared" si="16"/>
        <v>0</v>
      </c>
      <c r="Y61" s="2">
        <f t="shared" si="17"/>
        <v>0</v>
      </c>
      <c r="Z61" s="2">
        <f t="shared" si="18"/>
        <v>0</v>
      </c>
      <c r="AA61" s="2">
        <v>62.5</v>
      </c>
      <c r="AB61" s="2">
        <v>37.520000000000003</v>
      </c>
      <c r="AC61" s="2">
        <f t="shared" si="14"/>
        <v>40</v>
      </c>
      <c r="AD61" s="2">
        <v>80.400000000000006</v>
      </c>
      <c r="AE61" s="2">
        <v>40</v>
      </c>
      <c r="AF61" t="s">
        <v>87</v>
      </c>
      <c r="AG61" s="16">
        <v>40.133333333333326</v>
      </c>
    </row>
    <row r="62" spans="1:33" x14ac:dyDescent="0.25">
      <c r="A62" s="10" t="s">
        <v>75</v>
      </c>
      <c r="B62" s="10" t="s">
        <v>82</v>
      </c>
      <c r="C62" s="10" t="s">
        <v>94</v>
      </c>
      <c r="D62" s="11" t="s">
        <v>95</v>
      </c>
      <c r="E62" s="1">
        <v>42417</v>
      </c>
      <c r="F62">
        <v>1</v>
      </c>
      <c r="G62" s="2">
        <v>307</v>
      </c>
      <c r="H62" s="2">
        <v>6</v>
      </c>
      <c r="I62" s="2">
        <v>12.5</v>
      </c>
      <c r="J62" s="2">
        <f t="shared" si="20"/>
        <v>0.48</v>
      </c>
      <c r="K62" s="2">
        <v>2</v>
      </c>
      <c r="L62" s="2" cm="1">
        <f t="array" ref="L62">_xlfn.IFS(K62=1,0.5,K62=2,5.5,K62=3,18,K62=4,38,K62=5,63,K62=6,88)</f>
        <v>5.5</v>
      </c>
      <c r="M62" s="2">
        <f t="shared" si="10"/>
        <v>0.94</v>
      </c>
      <c r="N62" s="2">
        <v>7.6</v>
      </c>
      <c r="O62" s="2">
        <v>14</v>
      </c>
      <c r="P62" s="2">
        <v>21</v>
      </c>
      <c r="Q62" s="2">
        <v>0</v>
      </c>
      <c r="R62" s="2">
        <v>0</v>
      </c>
      <c r="S62" s="2">
        <v>0</v>
      </c>
      <c r="T62" s="2">
        <f t="shared" si="11"/>
        <v>42.6</v>
      </c>
      <c r="U62" s="2">
        <f t="shared" si="12"/>
        <v>17.8</v>
      </c>
      <c r="V62" s="2">
        <f t="shared" si="13"/>
        <v>32.9</v>
      </c>
      <c r="W62" s="2">
        <f t="shared" si="15"/>
        <v>49.3</v>
      </c>
      <c r="X62" s="2">
        <f t="shared" si="16"/>
        <v>0</v>
      </c>
      <c r="Y62" s="2">
        <f t="shared" si="17"/>
        <v>0</v>
      </c>
      <c r="Z62" s="2">
        <f t="shared" si="18"/>
        <v>0</v>
      </c>
      <c r="AA62" s="2">
        <v>78.8</v>
      </c>
      <c r="AB62" s="2">
        <v>50.76</v>
      </c>
      <c r="AC62" s="2">
        <f t="shared" si="14"/>
        <v>35.6</v>
      </c>
      <c r="AD62" s="2">
        <v>49</v>
      </c>
      <c r="AE62" s="2">
        <v>36</v>
      </c>
      <c r="AF62" t="s">
        <v>96</v>
      </c>
      <c r="AG62" s="16">
        <v>41.75</v>
      </c>
    </row>
    <row r="63" spans="1:33" x14ac:dyDescent="0.25">
      <c r="A63" s="10" t="s">
        <v>75</v>
      </c>
      <c r="B63" s="10" t="s">
        <v>82</v>
      </c>
      <c r="C63" s="10" t="s">
        <v>94</v>
      </c>
      <c r="D63" s="11" t="s">
        <v>95</v>
      </c>
      <c r="E63" s="1">
        <v>42417</v>
      </c>
      <c r="F63">
        <v>2</v>
      </c>
      <c r="G63" s="2">
        <v>427.2</v>
      </c>
      <c r="H63" s="2">
        <v>7</v>
      </c>
      <c r="I63" s="2">
        <v>18.3</v>
      </c>
      <c r="J63" s="2">
        <f t="shared" si="20"/>
        <v>0.38</v>
      </c>
      <c r="K63" s="2">
        <v>2</v>
      </c>
      <c r="L63" s="2" cm="1">
        <f t="array" ref="L63">_xlfn.IFS(K63=1,0.5,K63=2,5.5,K63=3,18,K63=4,38,K63=5,63,K63=6,88)</f>
        <v>5.5</v>
      </c>
      <c r="M63" s="2">
        <f t="shared" si="10"/>
        <v>1.05</v>
      </c>
      <c r="N63" s="2">
        <v>6</v>
      </c>
      <c r="O63" s="2">
        <v>13</v>
      </c>
      <c r="P63" s="2">
        <v>69.599999999999994</v>
      </c>
      <c r="Q63" s="2">
        <v>0</v>
      </c>
      <c r="R63" s="2">
        <v>0</v>
      </c>
      <c r="S63" s="2">
        <v>0</v>
      </c>
      <c r="T63" s="2">
        <f t="shared" si="11"/>
        <v>88.6</v>
      </c>
      <c r="U63" s="2">
        <f t="shared" si="12"/>
        <v>6.8</v>
      </c>
      <c r="V63" s="2">
        <f t="shared" si="13"/>
        <v>14.7</v>
      </c>
      <c r="W63" s="2">
        <f t="shared" si="15"/>
        <v>78.599999999999994</v>
      </c>
      <c r="X63" s="2">
        <f t="shared" si="16"/>
        <v>0</v>
      </c>
      <c r="Y63" s="2">
        <f t="shared" si="17"/>
        <v>0</v>
      </c>
      <c r="Z63" s="2">
        <f t="shared" si="18"/>
        <v>0</v>
      </c>
      <c r="AA63" s="2">
        <v>101.4</v>
      </c>
      <c r="AB63" s="2">
        <v>59.32</v>
      </c>
      <c r="AC63" s="2">
        <f t="shared" si="14"/>
        <v>41.5</v>
      </c>
      <c r="AD63" s="2">
        <v>75</v>
      </c>
      <c r="AE63" s="2">
        <v>24</v>
      </c>
      <c r="AF63" t="s">
        <v>97</v>
      </c>
      <c r="AG63" s="16">
        <v>54.97</v>
      </c>
    </row>
    <row r="64" spans="1:33" x14ac:dyDescent="0.25">
      <c r="A64" s="10" t="s">
        <v>75</v>
      </c>
      <c r="B64" s="10" t="s">
        <v>82</v>
      </c>
      <c r="C64" s="10" t="s">
        <v>94</v>
      </c>
      <c r="D64" s="11" t="s">
        <v>95</v>
      </c>
      <c r="E64" s="1">
        <v>42417</v>
      </c>
      <c r="F64">
        <v>3</v>
      </c>
      <c r="G64" s="2">
        <v>346.3</v>
      </c>
      <c r="H64" s="2">
        <v>6</v>
      </c>
      <c r="I64" s="2">
        <v>15.3</v>
      </c>
      <c r="J64" s="2">
        <f t="shared" si="20"/>
        <v>0.39</v>
      </c>
      <c r="K64" s="2">
        <v>2</v>
      </c>
      <c r="L64" s="2" cm="1">
        <f t="array" ref="L64">_xlfn.IFS(K64=1,0.5,K64=2,5.5,K64=3,18,K64=4,38,K64=5,63,K64=6,88)</f>
        <v>5.5</v>
      </c>
      <c r="M64" s="2">
        <f t="shared" si="10"/>
        <v>0.95</v>
      </c>
      <c r="N64" s="2">
        <v>6</v>
      </c>
      <c r="O64" s="2">
        <v>5.8</v>
      </c>
      <c r="P64" s="2">
        <v>89.2</v>
      </c>
      <c r="Q64" s="2">
        <v>0</v>
      </c>
      <c r="R64" s="2">
        <v>0</v>
      </c>
      <c r="S64" s="2">
        <v>0</v>
      </c>
      <c r="T64" s="2">
        <f t="shared" si="11"/>
        <v>101</v>
      </c>
      <c r="U64" s="2">
        <f t="shared" si="12"/>
        <v>5.9</v>
      </c>
      <c r="V64" s="2">
        <f t="shared" si="13"/>
        <v>5.7</v>
      </c>
      <c r="W64" s="2">
        <f t="shared" si="15"/>
        <v>88.3</v>
      </c>
      <c r="X64" s="2">
        <f t="shared" si="16"/>
        <v>0</v>
      </c>
      <c r="Y64" s="2">
        <f t="shared" si="17"/>
        <v>0</v>
      </c>
      <c r="Z64" s="2">
        <f t="shared" si="18"/>
        <v>0</v>
      </c>
      <c r="AA64" s="2">
        <v>115</v>
      </c>
      <c r="AB64" s="2">
        <v>71.06</v>
      </c>
      <c r="AC64" s="2">
        <f t="shared" si="14"/>
        <v>38.200000000000003</v>
      </c>
      <c r="AD64" s="2">
        <v>68</v>
      </c>
      <c r="AE64" s="2">
        <v>44.5</v>
      </c>
      <c r="AF64" t="s">
        <v>98</v>
      </c>
      <c r="AG64" s="16">
        <v>103.16999999999999</v>
      </c>
    </row>
    <row r="65" spans="1:34" x14ac:dyDescent="0.25">
      <c r="A65" s="10" t="s">
        <v>75</v>
      </c>
      <c r="B65" s="10" t="s">
        <v>76</v>
      </c>
      <c r="C65" s="10" t="s">
        <v>129</v>
      </c>
      <c r="D65" s="11" t="s">
        <v>130</v>
      </c>
      <c r="E65" s="1">
        <v>42417</v>
      </c>
      <c r="F65">
        <v>1</v>
      </c>
      <c r="G65" s="2">
        <v>390.6</v>
      </c>
      <c r="H65" s="2">
        <v>12</v>
      </c>
      <c r="I65" s="2">
        <v>6.8</v>
      </c>
      <c r="J65" s="2">
        <f t="shared" si="20"/>
        <v>1.76</v>
      </c>
      <c r="K65" s="2">
        <v>3</v>
      </c>
      <c r="L65" s="2" cm="1">
        <f t="array" ref="L65">_xlfn.IFS(K65=1,0.5,K65=2,5.5,K65=3,18,K65=4,38,K65=5,63,K65=6,88)</f>
        <v>18</v>
      </c>
      <c r="M65" s="2">
        <f t="shared" si="10"/>
        <v>1.82</v>
      </c>
      <c r="N65" s="2">
        <v>3</v>
      </c>
      <c r="O65" s="2">
        <v>1</v>
      </c>
      <c r="P65" s="2">
        <v>32.6</v>
      </c>
      <c r="Q65" s="2">
        <v>0</v>
      </c>
      <c r="R65" s="2">
        <v>0</v>
      </c>
      <c r="S65" s="2">
        <v>0</v>
      </c>
      <c r="T65" s="2">
        <f t="shared" si="11"/>
        <v>36.6</v>
      </c>
      <c r="U65" s="2">
        <f t="shared" si="12"/>
        <v>8.1999999999999993</v>
      </c>
      <c r="V65" s="2">
        <f t="shared" si="13"/>
        <v>2.7</v>
      </c>
      <c r="W65" s="2">
        <f t="shared" si="15"/>
        <v>89.1</v>
      </c>
      <c r="X65" s="2">
        <f t="shared" si="16"/>
        <v>0</v>
      </c>
      <c r="Y65" s="2">
        <f t="shared" si="17"/>
        <v>0</v>
      </c>
      <c r="Z65" s="2">
        <f t="shared" si="18"/>
        <v>0</v>
      </c>
      <c r="AA65" s="2">
        <v>90.4</v>
      </c>
      <c r="AB65" s="2">
        <v>59.93</v>
      </c>
      <c r="AC65" s="2">
        <f t="shared" si="14"/>
        <v>33.700000000000003</v>
      </c>
      <c r="AD65" s="2">
        <v>53.4</v>
      </c>
      <c r="AE65" s="2">
        <v>25</v>
      </c>
      <c r="AF65" t="s">
        <v>131</v>
      </c>
      <c r="AG65" s="16">
        <v>58.349999999999994</v>
      </c>
    </row>
    <row r="66" spans="1:34" x14ac:dyDescent="0.25">
      <c r="A66" s="10" t="s">
        <v>75</v>
      </c>
      <c r="B66" s="10" t="s">
        <v>76</v>
      </c>
      <c r="C66" s="10" t="s">
        <v>129</v>
      </c>
      <c r="D66" s="11" t="s">
        <v>130</v>
      </c>
      <c r="E66" s="1">
        <v>42417</v>
      </c>
      <c r="F66">
        <v>2</v>
      </c>
      <c r="G66" s="2">
        <v>494.1</v>
      </c>
      <c r="H66" s="2">
        <v>8</v>
      </c>
      <c r="I66" s="2">
        <v>6.9</v>
      </c>
      <c r="J66" s="2">
        <f t="shared" si="20"/>
        <v>1.1599999999999999</v>
      </c>
      <c r="K66" s="2">
        <v>3</v>
      </c>
      <c r="L66" s="2" cm="1">
        <f t="array" ref="L66">_xlfn.IFS(K66=1,0.5,K66=2,5.5,K66=3,18,K66=4,38,K66=5,63,K66=6,88)</f>
        <v>18</v>
      </c>
      <c r="M66" s="2">
        <f t="shared" ref="M66:M79" si="21">ROUND(G66/MAX($G$2:$G$79)+J66/MAX($J$2:$J$79)+K66/MAX($K$2:$K$79),2)</f>
        <v>1.67</v>
      </c>
      <c r="N66" s="2">
        <v>10.8</v>
      </c>
      <c r="O66" s="2">
        <v>10.4</v>
      </c>
      <c r="P66" s="2">
        <v>15</v>
      </c>
      <c r="Q66" s="2">
        <v>0</v>
      </c>
      <c r="R66" s="2">
        <v>0</v>
      </c>
      <c r="S66" s="2">
        <v>0</v>
      </c>
      <c r="T66" s="2">
        <f t="shared" ref="T66:T79" si="22">SUM(N66:S66)</f>
        <v>36.200000000000003</v>
      </c>
      <c r="U66" s="2">
        <f t="shared" ref="U66:U79" si="23">ROUND(N66/T66*100,1)</f>
        <v>29.8</v>
      </c>
      <c r="V66" s="2">
        <f t="shared" ref="V66:V79" si="24">ROUND(O66/T66*100,1)</f>
        <v>28.7</v>
      </c>
      <c r="W66" s="2">
        <f t="shared" si="15"/>
        <v>41.4</v>
      </c>
      <c r="X66" s="2">
        <f t="shared" si="16"/>
        <v>0</v>
      </c>
      <c r="Y66" s="2">
        <f t="shared" si="17"/>
        <v>0</v>
      </c>
      <c r="Z66" s="2">
        <f t="shared" si="18"/>
        <v>0</v>
      </c>
      <c r="AA66" s="2">
        <v>103.6</v>
      </c>
      <c r="AB66" s="2">
        <v>73.31</v>
      </c>
      <c r="AC66" s="2">
        <f t="shared" ref="AC66:AC79" si="25">ROUND((AA66-AB66)/AA66*100,1)</f>
        <v>29.2</v>
      </c>
      <c r="AD66" s="2">
        <v>67</v>
      </c>
      <c r="AE66" s="2">
        <v>50</v>
      </c>
      <c r="AF66" t="s">
        <v>132</v>
      </c>
      <c r="AG66" s="16">
        <v>84.733333333333348</v>
      </c>
    </row>
    <row r="67" spans="1:34" x14ac:dyDescent="0.25">
      <c r="A67" s="10" t="s">
        <v>75</v>
      </c>
      <c r="B67" s="10" t="s">
        <v>76</v>
      </c>
      <c r="C67" s="10" t="s">
        <v>129</v>
      </c>
      <c r="D67" s="11" t="s">
        <v>130</v>
      </c>
      <c r="E67" s="1">
        <v>42417</v>
      </c>
      <c r="F67">
        <v>3</v>
      </c>
      <c r="G67" s="2">
        <v>496.7</v>
      </c>
      <c r="H67" s="2">
        <v>15</v>
      </c>
      <c r="I67" s="2">
        <v>7.1</v>
      </c>
      <c r="J67" s="2">
        <f t="shared" si="20"/>
        <v>2.11</v>
      </c>
      <c r="K67" s="2">
        <v>3</v>
      </c>
      <c r="L67" s="2" cm="1">
        <f t="array" ref="L67">_xlfn.IFS(K67=1,0.5,K67=2,5.5,K67=3,18,K67=4,38,K67=5,63,K67=6,88)</f>
        <v>18</v>
      </c>
      <c r="M67" s="2">
        <f t="shared" si="21"/>
        <v>2.12</v>
      </c>
      <c r="N67" s="2">
        <v>1.4</v>
      </c>
      <c r="O67" s="2">
        <v>0</v>
      </c>
      <c r="P67" s="2">
        <v>29.4</v>
      </c>
      <c r="Q67" s="2">
        <v>0</v>
      </c>
      <c r="R67" s="2">
        <v>0</v>
      </c>
      <c r="S67" s="2">
        <v>0</v>
      </c>
      <c r="T67" s="2">
        <f t="shared" si="22"/>
        <v>30.799999999999997</v>
      </c>
      <c r="U67" s="2">
        <f t="shared" si="23"/>
        <v>4.5</v>
      </c>
      <c r="V67" s="2">
        <f t="shared" si="24"/>
        <v>0</v>
      </c>
      <c r="W67" s="2">
        <f t="shared" ref="W67:W79" si="26">ROUND(P67/T67*100,1)</f>
        <v>95.5</v>
      </c>
      <c r="X67" s="2">
        <f t="shared" ref="X67:X79" si="27">ROUND(Q67/$T$2*100,1)</f>
        <v>0</v>
      </c>
      <c r="Y67" s="2">
        <f t="shared" ref="Y67:Y79" si="28">ROUND(R67/$T$2*100,1)</f>
        <v>0</v>
      </c>
      <c r="Z67" s="2">
        <f t="shared" ref="Z67:Z79" si="29">ROUND(S67/$T$2*100,1)</f>
        <v>0</v>
      </c>
      <c r="AA67" s="2">
        <v>67.599999999999994</v>
      </c>
      <c r="AB67" s="2">
        <v>37.869999999999997</v>
      </c>
      <c r="AC67" s="2">
        <f t="shared" si="25"/>
        <v>44</v>
      </c>
      <c r="AD67" s="2">
        <v>57</v>
      </c>
      <c r="AE67" s="2">
        <v>80</v>
      </c>
      <c r="AF67" t="s">
        <v>133</v>
      </c>
      <c r="AG67" s="16">
        <v>37.75</v>
      </c>
    </row>
    <row r="68" spans="1:34" x14ac:dyDescent="0.25">
      <c r="A68" s="10" t="s">
        <v>75</v>
      </c>
      <c r="B68" s="10" t="s">
        <v>76</v>
      </c>
      <c r="C68" s="10" t="s">
        <v>77</v>
      </c>
      <c r="D68" s="11" t="s">
        <v>78</v>
      </c>
      <c r="E68" s="1">
        <v>42417</v>
      </c>
      <c r="F68">
        <v>1</v>
      </c>
      <c r="G68" s="2">
        <v>674.9</v>
      </c>
      <c r="H68" s="2">
        <v>13</v>
      </c>
      <c r="I68" s="2">
        <v>11.9</v>
      </c>
      <c r="J68" s="2">
        <f t="shared" si="20"/>
        <v>1.0900000000000001</v>
      </c>
      <c r="K68" s="2">
        <v>3</v>
      </c>
      <c r="L68" s="2" cm="1">
        <f t="array" ref="L68">_xlfn.IFS(K68=1,0.5,K68=2,5.5,K68=3,18,K68=4,38,K68=5,63,K68=6,88)</f>
        <v>18</v>
      </c>
      <c r="M68" s="2">
        <f t="shared" si="21"/>
        <v>1.86</v>
      </c>
      <c r="N68" s="2">
        <v>17.600000000000001</v>
      </c>
      <c r="O68" s="2">
        <v>2.4</v>
      </c>
      <c r="P68" s="2">
        <v>97.2</v>
      </c>
      <c r="Q68" s="2">
        <v>0</v>
      </c>
      <c r="R68" s="2">
        <v>0</v>
      </c>
      <c r="S68" s="2">
        <v>0</v>
      </c>
      <c r="T68" s="2">
        <f t="shared" si="22"/>
        <v>117.2</v>
      </c>
      <c r="U68" s="2">
        <f t="shared" si="23"/>
        <v>15</v>
      </c>
      <c r="V68" s="2">
        <f t="shared" si="24"/>
        <v>2</v>
      </c>
      <c r="W68" s="2">
        <f t="shared" si="26"/>
        <v>82.9</v>
      </c>
      <c r="X68" s="2">
        <f t="shared" si="27"/>
        <v>0</v>
      </c>
      <c r="Y68" s="2">
        <f t="shared" si="28"/>
        <v>0</v>
      </c>
      <c r="Z68" s="2">
        <f t="shared" si="29"/>
        <v>0</v>
      </c>
      <c r="AA68" s="2">
        <v>149.6</v>
      </c>
      <c r="AB68" s="2">
        <v>76.44</v>
      </c>
      <c r="AC68" s="2">
        <f t="shared" si="25"/>
        <v>48.9</v>
      </c>
      <c r="AD68" s="2">
        <v>85</v>
      </c>
      <c r="AE68" s="2">
        <v>82</v>
      </c>
      <c r="AF68" t="s">
        <v>79</v>
      </c>
      <c r="AG68" s="16">
        <v>235.15</v>
      </c>
    </row>
    <row r="69" spans="1:34" x14ac:dyDescent="0.25">
      <c r="A69" s="10" t="s">
        <v>75</v>
      </c>
      <c r="B69" s="10" t="s">
        <v>76</v>
      </c>
      <c r="C69" s="10" t="s">
        <v>77</v>
      </c>
      <c r="D69" s="11" t="s">
        <v>78</v>
      </c>
      <c r="E69" s="1">
        <v>42417</v>
      </c>
      <c r="F69">
        <v>2</v>
      </c>
      <c r="G69" s="2">
        <v>636.9</v>
      </c>
      <c r="H69" s="2">
        <v>24</v>
      </c>
      <c r="I69" s="2">
        <v>11.8</v>
      </c>
      <c r="J69" s="2">
        <f t="shared" si="20"/>
        <v>2.0299999999999998</v>
      </c>
      <c r="K69" s="2">
        <v>5</v>
      </c>
      <c r="L69" s="2" cm="1">
        <f t="array" ref="L69">_xlfn.IFS(K69=1,0.5,K69=2,5.5,K69=3,18,K69=4,38,K69=5,63,K69=6,88)</f>
        <v>63</v>
      </c>
      <c r="M69" s="2">
        <f t="shared" si="21"/>
        <v>2.59</v>
      </c>
      <c r="N69" s="2">
        <v>3.8</v>
      </c>
      <c r="O69" s="2">
        <v>11</v>
      </c>
      <c r="P69" s="2">
        <v>47.2</v>
      </c>
      <c r="Q69" s="2">
        <v>0</v>
      </c>
      <c r="R69" s="2">
        <v>0</v>
      </c>
      <c r="S69" s="2">
        <v>0</v>
      </c>
      <c r="T69" s="2">
        <f t="shared" si="22"/>
        <v>62</v>
      </c>
      <c r="U69" s="2">
        <f t="shared" si="23"/>
        <v>6.1</v>
      </c>
      <c r="V69" s="2">
        <f t="shared" si="24"/>
        <v>17.7</v>
      </c>
      <c r="W69" s="2">
        <f t="shared" si="26"/>
        <v>76.099999999999994</v>
      </c>
      <c r="X69" s="2">
        <f t="shared" si="27"/>
        <v>0</v>
      </c>
      <c r="Y69" s="2">
        <f t="shared" si="28"/>
        <v>0</v>
      </c>
      <c r="Z69" s="2">
        <f t="shared" si="29"/>
        <v>0</v>
      </c>
      <c r="AA69" s="2">
        <v>94</v>
      </c>
      <c r="AB69" s="2">
        <v>53.88</v>
      </c>
      <c r="AC69" s="2">
        <f t="shared" si="25"/>
        <v>42.7</v>
      </c>
      <c r="AD69" s="2">
        <v>45</v>
      </c>
      <c r="AE69" s="2">
        <v>50</v>
      </c>
      <c r="AF69" t="s">
        <v>80</v>
      </c>
      <c r="AG69" s="16">
        <v>53.949999999999989</v>
      </c>
    </row>
    <row r="70" spans="1:34" x14ac:dyDescent="0.25">
      <c r="A70" s="10" t="s">
        <v>75</v>
      </c>
      <c r="B70" s="10" t="s">
        <v>76</v>
      </c>
      <c r="C70" s="10" t="s">
        <v>77</v>
      </c>
      <c r="D70" s="11" t="s">
        <v>78</v>
      </c>
      <c r="E70" s="1">
        <v>42417</v>
      </c>
      <c r="F70">
        <v>3</v>
      </c>
      <c r="G70" s="2">
        <v>473.8</v>
      </c>
      <c r="H70" s="2">
        <v>14</v>
      </c>
      <c r="I70" s="2">
        <v>11.7</v>
      </c>
      <c r="J70" s="2">
        <f t="shared" si="20"/>
        <v>1.2</v>
      </c>
      <c r="K70" s="2">
        <v>4</v>
      </c>
      <c r="L70" s="2" cm="1">
        <f t="array" ref="L70">_xlfn.IFS(K70=1,0.5,K70=2,5.5,K70=3,18,K70=4,38,K70=5,63,K70=6,88)</f>
        <v>38</v>
      </c>
      <c r="M70" s="2">
        <f t="shared" si="21"/>
        <v>1.83</v>
      </c>
      <c r="N70" s="2">
        <v>11.4</v>
      </c>
      <c r="O70" s="2">
        <v>6.4</v>
      </c>
      <c r="P70" s="2">
        <v>32</v>
      </c>
      <c r="Q70" s="2">
        <v>0</v>
      </c>
      <c r="R70" s="2">
        <v>0</v>
      </c>
      <c r="S70" s="2">
        <v>0</v>
      </c>
      <c r="T70" s="2">
        <f t="shared" si="22"/>
        <v>49.8</v>
      </c>
      <c r="U70" s="2">
        <f t="shared" si="23"/>
        <v>22.9</v>
      </c>
      <c r="V70" s="2">
        <f t="shared" si="24"/>
        <v>12.9</v>
      </c>
      <c r="W70" s="2">
        <f t="shared" si="26"/>
        <v>64.3</v>
      </c>
      <c r="X70" s="2">
        <f t="shared" si="27"/>
        <v>0</v>
      </c>
      <c r="Y70" s="2">
        <f t="shared" si="28"/>
        <v>0</v>
      </c>
      <c r="Z70" s="2">
        <f t="shared" si="29"/>
        <v>0</v>
      </c>
      <c r="AA70" s="2">
        <v>146.6</v>
      </c>
      <c r="AB70" s="2">
        <v>73.58</v>
      </c>
      <c r="AC70" s="2">
        <f t="shared" si="25"/>
        <v>49.8</v>
      </c>
      <c r="AD70" s="2">
        <v>115</v>
      </c>
      <c r="AE70" s="2">
        <v>77</v>
      </c>
      <c r="AF70" t="s">
        <v>81</v>
      </c>
      <c r="AG70" s="16">
        <v>234.15</v>
      </c>
    </row>
    <row r="71" spans="1:34" x14ac:dyDescent="0.25">
      <c r="A71" s="10" t="s">
        <v>75</v>
      </c>
      <c r="B71" s="10" t="s">
        <v>76</v>
      </c>
      <c r="C71" s="10" t="s">
        <v>119</v>
      </c>
      <c r="D71" s="11" t="s">
        <v>120</v>
      </c>
      <c r="E71" s="1">
        <v>42417</v>
      </c>
      <c r="F71">
        <v>1</v>
      </c>
      <c r="G71" s="2">
        <v>593</v>
      </c>
      <c r="H71" s="2">
        <v>17</v>
      </c>
      <c r="I71" s="2">
        <v>15.6</v>
      </c>
      <c r="J71" s="2">
        <f t="shared" si="20"/>
        <v>1.0900000000000001</v>
      </c>
      <c r="K71" s="2">
        <v>3</v>
      </c>
      <c r="L71" s="2" cm="1">
        <f t="array" ref="L71">_xlfn.IFS(K71=1,0.5,K71=2,5.5,K71=3,18,K71=4,38,K71=5,63,K71=6,88)</f>
        <v>18</v>
      </c>
      <c r="M71" s="2">
        <f t="shared" si="21"/>
        <v>1.76</v>
      </c>
      <c r="N71" s="2">
        <v>5.2</v>
      </c>
      <c r="O71" s="2">
        <v>9</v>
      </c>
      <c r="P71" s="2">
        <v>60.6</v>
      </c>
      <c r="Q71" s="2">
        <v>3.8</v>
      </c>
      <c r="R71" s="2">
        <v>0</v>
      </c>
      <c r="S71" s="2">
        <v>1.2</v>
      </c>
      <c r="T71" s="2">
        <f t="shared" si="22"/>
        <v>79.8</v>
      </c>
      <c r="U71" s="2">
        <f t="shared" si="23"/>
        <v>6.5</v>
      </c>
      <c r="V71" s="2">
        <f t="shared" si="24"/>
        <v>11.3</v>
      </c>
      <c r="W71" s="2">
        <f t="shared" si="26"/>
        <v>75.900000000000006</v>
      </c>
      <c r="X71" s="2">
        <f t="shared" si="27"/>
        <v>2.9</v>
      </c>
      <c r="Y71" s="2">
        <f t="shared" si="28"/>
        <v>0</v>
      </c>
      <c r="Z71" s="2">
        <f t="shared" si="29"/>
        <v>0.9</v>
      </c>
      <c r="AA71" s="2">
        <v>79.400000000000006</v>
      </c>
      <c r="AB71" s="2">
        <v>46.88</v>
      </c>
      <c r="AC71" s="2">
        <f t="shared" si="25"/>
        <v>41</v>
      </c>
      <c r="AD71" s="2">
        <v>57</v>
      </c>
      <c r="AE71" s="2">
        <v>54</v>
      </c>
      <c r="AF71" t="s">
        <v>121</v>
      </c>
      <c r="AG71" s="16">
        <v>40.150000000000006</v>
      </c>
    </row>
    <row r="72" spans="1:34" x14ac:dyDescent="0.25">
      <c r="A72" s="10" t="s">
        <v>75</v>
      </c>
      <c r="B72" s="10" t="s">
        <v>76</v>
      </c>
      <c r="C72" s="10" t="s">
        <v>119</v>
      </c>
      <c r="D72" s="11" t="s">
        <v>120</v>
      </c>
      <c r="E72" s="1">
        <v>42417</v>
      </c>
      <c r="F72">
        <v>2</v>
      </c>
      <c r="G72" s="2">
        <v>683.5</v>
      </c>
      <c r="H72" s="2">
        <v>7</v>
      </c>
      <c r="I72" s="2">
        <v>15.7</v>
      </c>
      <c r="J72" s="2">
        <f t="shared" si="20"/>
        <v>0.45</v>
      </c>
      <c r="K72" s="2">
        <v>2</v>
      </c>
      <c r="L72" s="2" cm="1">
        <f t="array" ref="L72">_xlfn.IFS(K72=1,0.5,K72=2,5.5,K72=3,18,K72=4,38,K72=5,63,K72=6,88)</f>
        <v>5.5</v>
      </c>
      <c r="M72" s="2">
        <f t="shared" si="21"/>
        <v>1.4</v>
      </c>
      <c r="N72" s="2">
        <v>5.6</v>
      </c>
      <c r="O72" s="2">
        <v>21.8</v>
      </c>
      <c r="P72" s="2">
        <v>30.4</v>
      </c>
      <c r="Q72" s="2">
        <v>0</v>
      </c>
      <c r="R72" s="2">
        <v>0</v>
      </c>
      <c r="S72" s="2">
        <v>0</v>
      </c>
      <c r="T72" s="2">
        <f t="shared" si="22"/>
        <v>57.8</v>
      </c>
      <c r="U72" s="2">
        <f t="shared" si="23"/>
        <v>9.6999999999999993</v>
      </c>
      <c r="V72" s="2">
        <f t="shared" si="24"/>
        <v>37.700000000000003</v>
      </c>
      <c r="W72" s="2">
        <f t="shared" si="26"/>
        <v>52.6</v>
      </c>
      <c r="X72" s="2">
        <f t="shared" si="27"/>
        <v>0</v>
      </c>
      <c r="Y72" s="2">
        <f t="shared" si="28"/>
        <v>0</v>
      </c>
      <c r="Z72" s="2">
        <f t="shared" si="29"/>
        <v>0</v>
      </c>
      <c r="AA72" s="2">
        <v>105.4</v>
      </c>
      <c r="AB72" s="2">
        <v>59.63</v>
      </c>
      <c r="AC72" s="2">
        <f t="shared" si="25"/>
        <v>43.4</v>
      </c>
      <c r="AD72" s="2">
        <v>72</v>
      </c>
      <c r="AE72" s="2">
        <v>80</v>
      </c>
      <c r="AF72" t="s">
        <v>122</v>
      </c>
      <c r="AG72" s="16">
        <v>107.37</v>
      </c>
    </row>
    <row r="73" spans="1:34" x14ac:dyDescent="0.25">
      <c r="A73" s="10" t="s">
        <v>75</v>
      </c>
      <c r="B73" s="10" t="s">
        <v>76</v>
      </c>
      <c r="C73" s="10" t="s">
        <v>119</v>
      </c>
      <c r="D73" s="11" t="s">
        <v>120</v>
      </c>
      <c r="E73" s="1">
        <v>42417</v>
      </c>
      <c r="F73">
        <v>3</v>
      </c>
      <c r="G73" s="2">
        <v>628.5</v>
      </c>
      <c r="H73" s="2">
        <v>8.5</v>
      </c>
      <c r="I73" s="2">
        <v>9.3000000000000007</v>
      </c>
      <c r="J73" s="2">
        <f t="shared" si="20"/>
        <v>0.91</v>
      </c>
      <c r="K73" s="2">
        <v>2</v>
      </c>
      <c r="L73" s="2" cm="1">
        <f t="array" ref="L73">_xlfn.IFS(K73=1,0.5,K73=2,5.5,K73=3,18,K73=4,38,K73=5,63,K73=6,88)</f>
        <v>5.5</v>
      </c>
      <c r="M73" s="2">
        <f t="shared" si="21"/>
        <v>1.55</v>
      </c>
      <c r="N73" s="2">
        <v>1</v>
      </c>
      <c r="O73" s="2">
        <v>7</v>
      </c>
      <c r="P73" s="2">
        <v>29.2</v>
      </c>
      <c r="Q73" s="2">
        <v>0</v>
      </c>
      <c r="R73" s="2">
        <v>0</v>
      </c>
      <c r="S73" s="2">
        <v>0</v>
      </c>
      <c r="T73" s="2">
        <f t="shared" si="22"/>
        <v>37.200000000000003</v>
      </c>
      <c r="U73" s="2">
        <f t="shared" si="23"/>
        <v>2.7</v>
      </c>
      <c r="V73" s="2">
        <f t="shared" si="24"/>
        <v>18.8</v>
      </c>
      <c r="W73" s="2">
        <f t="shared" si="26"/>
        <v>78.5</v>
      </c>
      <c r="X73" s="2">
        <f t="shared" si="27"/>
        <v>0</v>
      </c>
      <c r="Y73" s="2">
        <f t="shared" si="28"/>
        <v>0</v>
      </c>
      <c r="Z73" s="2">
        <f t="shared" si="29"/>
        <v>0</v>
      </c>
      <c r="AA73" s="2">
        <v>54.4</v>
      </c>
      <c r="AB73" s="2">
        <v>30.6</v>
      </c>
      <c r="AC73" s="2">
        <f t="shared" si="25"/>
        <v>43.8</v>
      </c>
      <c r="AD73" s="2">
        <v>25</v>
      </c>
      <c r="AE73" s="2">
        <v>72</v>
      </c>
      <c r="AF73" t="s">
        <v>123</v>
      </c>
      <c r="AG73" s="16">
        <v>25.949999999999989</v>
      </c>
    </row>
    <row r="74" spans="1:34" x14ac:dyDescent="0.25">
      <c r="A74" s="10" t="s">
        <v>75</v>
      </c>
      <c r="B74" s="10" t="s">
        <v>76</v>
      </c>
      <c r="C74" s="10" t="s">
        <v>88</v>
      </c>
      <c r="D74" s="11" t="s">
        <v>89</v>
      </c>
      <c r="E74" s="1">
        <v>42417</v>
      </c>
      <c r="F74">
        <v>1</v>
      </c>
      <c r="G74" s="2">
        <v>763</v>
      </c>
      <c r="H74" s="2">
        <v>21</v>
      </c>
      <c r="I74" s="2">
        <v>15</v>
      </c>
      <c r="J74" s="2">
        <f t="shared" si="20"/>
        <v>1.4</v>
      </c>
      <c r="K74" s="2">
        <v>5</v>
      </c>
      <c r="L74" s="2" cm="1">
        <f t="array" ref="L74">_xlfn.IFS(K74=1,0.5,K74=2,5.5,K74=3,18,K74=4,38,K74=5,63,K74=6,88)</f>
        <v>63</v>
      </c>
      <c r="M74" s="2">
        <f t="shared" si="21"/>
        <v>2.4500000000000002</v>
      </c>
      <c r="N74" s="2">
        <v>1.4</v>
      </c>
      <c r="O74" s="2">
        <v>14.2</v>
      </c>
      <c r="P74" s="2">
        <v>43</v>
      </c>
      <c r="Q74" s="2">
        <v>0</v>
      </c>
      <c r="R74" s="2">
        <v>0</v>
      </c>
      <c r="S74" s="2">
        <v>0</v>
      </c>
      <c r="T74" s="2">
        <f t="shared" si="22"/>
        <v>58.6</v>
      </c>
      <c r="U74" s="2">
        <f t="shared" si="23"/>
        <v>2.4</v>
      </c>
      <c r="V74" s="2">
        <f t="shared" si="24"/>
        <v>24.2</v>
      </c>
      <c r="W74" s="2">
        <f t="shared" si="26"/>
        <v>73.400000000000006</v>
      </c>
      <c r="X74" s="2">
        <f t="shared" si="27"/>
        <v>0</v>
      </c>
      <c r="Y74" s="2">
        <f t="shared" si="28"/>
        <v>0</v>
      </c>
      <c r="Z74" s="2">
        <f t="shared" si="29"/>
        <v>0</v>
      </c>
      <c r="AA74" s="2">
        <v>143.80000000000001</v>
      </c>
      <c r="AB74" s="2">
        <v>96.42</v>
      </c>
      <c r="AC74" s="2">
        <f t="shared" si="25"/>
        <v>32.9</v>
      </c>
      <c r="AD74" s="2">
        <v>34</v>
      </c>
      <c r="AE74" s="2">
        <v>83</v>
      </c>
      <c r="AF74" t="s">
        <v>90</v>
      </c>
      <c r="AG74" s="16">
        <v>239.35</v>
      </c>
    </row>
    <row r="75" spans="1:34" x14ac:dyDescent="0.25">
      <c r="A75" s="10" t="s">
        <v>75</v>
      </c>
      <c r="B75" s="10" t="s">
        <v>76</v>
      </c>
      <c r="C75" s="10" t="s">
        <v>88</v>
      </c>
      <c r="D75" s="11" t="s">
        <v>89</v>
      </c>
      <c r="E75" s="1">
        <v>42417</v>
      </c>
      <c r="F75">
        <v>2</v>
      </c>
      <c r="G75" s="2">
        <v>800</v>
      </c>
      <c r="H75" s="2">
        <v>36</v>
      </c>
      <c r="I75" s="2">
        <v>29.5</v>
      </c>
      <c r="J75" s="2">
        <f t="shared" si="20"/>
        <v>1.22</v>
      </c>
      <c r="K75" s="2">
        <v>6</v>
      </c>
      <c r="L75" s="2" cm="1">
        <f t="array" ref="L75">_xlfn.IFS(K75=1,0.5,K75=2,5.5,K75=3,18,K75=4,38,K75=5,63,K75=6,88)</f>
        <v>88</v>
      </c>
      <c r="M75" s="2">
        <f t="shared" si="21"/>
        <v>2.58</v>
      </c>
      <c r="N75" s="2">
        <v>8.8000000000000007</v>
      </c>
      <c r="O75" s="2">
        <v>13.6</v>
      </c>
      <c r="P75" s="2">
        <v>25.8</v>
      </c>
      <c r="Q75" s="2">
        <v>0</v>
      </c>
      <c r="R75" s="2">
        <v>0</v>
      </c>
      <c r="S75" s="2">
        <v>0</v>
      </c>
      <c r="T75" s="2">
        <f t="shared" si="22"/>
        <v>48.2</v>
      </c>
      <c r="U75" s="2">
        <f t="shared" si="23"/>
        <v>18.3</v>
      </c>
      <c r="V75" s="2">
        <f t="shared" si="24"/>
        <v>28.2</v>
      </c>
      <c r="W75" s="2">
        <f t="shared" si="26"/>
        <v>53.5</v>
      </c>
      <c r="X75" s="2">
        <f t="shared" si="27"/>
        <v>0</v>
      </c>
      <c r="Y75" s="2">
        <f t="shared" si="28"/>
        <v>0</v>
      </c>
      <c r="Z75" s="2">
        <f t="shared" si="29"/>
        <v>0</v>
      </c>
      <c r="AA75" s="2">
        <v>99.4</v>
      </c>
      <c r="AB75" s="2">
        <v>62.87</v>
      </c>
      <c r="AC75" s="2">
        <f t="shared" si="25"/>
        <v>36.799999999999997</v>
      </c>
      <c r="AD75" s="2">
        <v>52.5</v>
      </c>
      <c r="AE75" s="2">
        <v>38</v>
      </c>
      <c r="AF75" t="s">
        <v>91</v>
      </c>
      <c r="AG75" s="16">
        <v>71.549999999999983</v>
      </c>
    </row>
    <row r="76" spans="1:34" x14ac:dyDescent="0.25">
      <c r="A76" s="10" t="s">
        <v>75</v>
      </c>
      <c r="B76" s="10" t="s">
        <v>76</v>
      </c>
      <c r="C76" s="10" t="s">
        <v>88</v>
      </c>
      <c r="D76" s="11" t="s">
        <v>89</v>
      </c>
      <c r="E76" s="1">
        <v>42417</v>
      </c>
      <c r="F76">
        <v>3</v>
      </c>
      <c r="G76" s="2">
        <v>776.1</v>
      </c>
      <c r="H76" s="2">
        <v>16</v>
      </c>
      <c r="I76" s="2">
        <v>18</v>
      </c>
      <c r="J76" s="2">
        <f t="shared" si="20"/>
        <v>0.89</v>
      </c>
      <c r="K76" s="2">
        <v>4</v>
      </c>
      <c r="L76" s="2" cm="1">
        <f t="array" ref="L76">_xlfn.IFS(K76=1,0.5,K76=2,5.5,K76=3,18,K76=4,38,K76=5,63,K76=6,88)</f>
        <v>38</v>
      </c>
      <c r="M76" s="2">
        <f t="shared" si="21"/>
        <v>2.06</v>
      </c>
      <c r="N76" s="2">
        <v>7</v>
      </c>
      <c r="O76" s="2">
        <v>18.600000000000001</v>
      </c>
      <c r="P76" s="2">
        <v>63.2</v>
      </c>
      <c r="Q76" s="2">
        <v>0</v>
      </c>
      <c r="R76" s="2">
        <v>0</v>
      </c>
      <c r="S76" s="2">
        <v>0</v>
      </c>
      <c r="T76" s="2">
        <f t="shared" si="22"/>
        <v>88.800000000000011</v>
      </c>
      <c r="U76" s="2">
        <f t="shared" si="23"/>
        <v>7.9</v>
      </c>
      <c r="V76" s="2">
        <f t="shared" si="24"/>
        <v>20.9</v>
      </c>
      <c r="W76" s="2">
        <f t="shared" si="26"/>
        <v>71.2</v>
      </c>
      <c r="X76" s="2">
        <f t="shared" si="27"/>
        <v>0</v>
      </c>
      <c r="Y76" s="2">
        <f t="shared" si="28"/>
        <v>0</v>
      </c>
      <c r="Z76" s="2">
        <f t="shared" si="29"/>
        <v>0</v>
      </c>
      <c r="AA76" s="2">
        <v>89.2</v>
      </c>
      <c r="AB76" s="2">
        <v>57.62</v>
      </c>
      <c r="AC76" s="2">
        <f t="shared" si="25"/>
        <v>35.4</v>
      </c>
      <c r="AD76" s="2">
        <v>52</v>
      </c>
      <c r="AE76" s="2">
        <v>33</v>
      </c>
      <c r="AF76" t="s">
        <v>92</v>
      </c>
      <c r="AG76" s="16">
        <v>55.949999999999989</v>
      </c>
      <c r="AH76" t="s">
        <v>93</v>
      </c>
    </row>
    <row r="77" spans="1:34" x14ac:dyDescent="0.25">
      <c r="A77" s="10" t="s">
        <v>75</v>
      </c>
      <c r="B77" s="10" t="s">
        <v>76</v>
      </c>
      <c r="C77" s="10" t="s">
        <v>124</v>
      </c>
      <c r="D77" s="11" t="s">
        <v>125</v>
      </c>
      <c r="E77" s="1">
        <v>42417</v>
      </c>
      <c r="F77">
        <v>1</v>
      </c>
      <c r="G77" s="2">
        <v>639.5</v>
      </c>
      <c r="H77" s="2">
        <v>6</v>
      </c>
      <c r="I77" s="2">
        <v>15.4</v>
      </c>
      <c r="J77" s="2">
        <f t="shared" si="20"/>
        <v>0.39</v>
      </c>
      <c r="K77" s="2">
        <v>2</v>
      </c>
      <c r="L77" s="2" cm="1">
        <f t="array" ref="L77">_xlfn.IFS(K77=1,0.5,K77=2,5.5,K77=3,18,K77=4,38,K77=5,63,K77=6,88)</f>
        <v>5.5</v>
      </c>
      <c r="M77" s="2">
        <f t="shared" si="21"/>
        <v>1.32</v>
      </c>
      <c r="N77" s="2">
        <v>4</v>
      </c>
      <c r="O77" s="2">
        <v>13.8</v>
      </c>
      <c r="P77" s="2">
        <v>38.4</v>
      </c>
      <c r="Q77" s="2">
        <v>0.2</v>
      </c>
      <c r="R77" s="2">
        <v>0</v>
      </c>
      <c r="S77" s="2">
        <v>0.2</v>
      </c>
      <c r="T77" s="2">
        <f t="shared" si="22"/>
        <v>56.600000000000009</v>
      </c>
      <c r="U77" s="2">
        <f t="shared" si="23"/>
        <v>7.1</v>
      </c>
      <c r="V77" s="2">
        <f t="shared" si="24"/>
        <v>24.4</v>
      </c>
      <c r="W77" s="2">
        <f t="shared" si="26"/>
        <v>67.8</v>
      </c>
      <c r="X77" s="2">
        <f t="shared" si="27"/>
        <v>0.2</v>
      </c>
      <c r="Y77" s="2">
        <f t="shared" si="28"/>
        <v>0</v>
      </c>
      <c r="Z77" s="2">
        <f t="shared" si="29"/>
        <v>0.2</v>
      </c>
      <c r="AA77" s="2">
        <v>113.6</v>
      </c>
      <c r="AB77" s="2">
        <v>53.74</v>
      </c>
      <c r="AC77" s="2">
        <f t="shared" si="25"/>
        <v>52.7</v>
      </c>
      <c r="AD77" s="2">
        <v>50</v>
      </c>
      <c r="AE77" s="2">
        <v>73</v>
      </c>
      <c r="AF77" t="s">
        <v>126</v>
      </c>
      <c r="AG77" s="16">
        <v>83.733333333333348</v>
      </c>
    </row>
    <row r="78" spans="1:34" x14ac:dyDescent="0.25">
      <c r="A78" s="10" t="s">
        <v>75</v>
      </c>
      <c r="B78" s="10" t="s">
        <v>76</v>
      </c>
      <c r="C78" s="10" t="s">
        <v>124</v>
      </c>
      <c r="D78" s="11" t="s">
        <v>125</v>
      </c>
      <c r="E78" s="1">
        <v>42417</v>
      </c>
      <c r="F78">
        <v>2</v>
      </c>
      <c r="G78" s="2">
        <v>642.5</v>
      </c>
      <c r="H78" s="2">
        <v>13</v>
      </c>
      <c r="I78" s="2">
        <v>32.200000000000003</v>
      </c>
      <c r="J78" s="2">
        <f t="shared" si="20"/>
        <v>0.4</v>
      </c>
      <c r="K78" s="2">
        <v>2</v>
      </c>
      <c r="L78" s="2" cm="1">
        <f t="array" ref="L78">_xlfn.IFS(K78=1,0.5,K78=2,5.5,K78=3,18,K78=4,38,K78=5,63,K78=6,88)</f>
        <v>5.5</v>
      </c>
      <c r="M78" s="2">
        <f t="shared" si="21"/>
        <v>1.33</v>
      </c>
      <c r="N78" s="2">
        <v>10.6</v>
      </c>
      <c r="O78" s="2">
        <v>18.2</v>
      </c>
      <c r="P78" s="2">
        <v>40.6</v>
      </c>
      <c r="Q78" s="2">
        <v>0</v>
      </c>
      <c r="R78" s="2">
        <v>0</v>
      </c>
      <c r="S78" s="2">
        <v>1.2</v>
      </c>
      <c r="T78" s="2">
        <f t="shared" si="22"/>
        <v>70.600000000000009</v>
      </c>
      <c r="U78" s="2">
        <f t="shared" si="23"/>
        <v>15</v>
      </c>
      <c r="V78" s="2">
        <f t="shared" si="24"/>
        <v>25.8</v>
      </c>
      <c r="W78" s="2">
        <f t="shared" si="26"/>
        <v>57.5</v>
      </c>
      <c r="X78" s="2">
        <f t="shared" si="27"/>
        <v>0</v>
      </c>
      <c r="Y78" s="2">
        <f t="shared" si="28"/>
        <v>0</v>
      </c>
      <c r="Z78" s="2">
        <f t="shared" si="29"/>
        <v>0.9</v>
      </c>
      <c r="AA78" s="2">
        <v>37.4</v>
      </c>
      <c r="AB78" s="2">
        <v>20.41</v>
      </c>
      <c r="AC78" s="2">
        <f t="shared" si="25"/>
        <v>45.4</v>
      </c>
      <c r="AD78" s="2">
        <v>46.5</v>
      </c>
      <c r="AE78" s="2">
        <v>90</v>
      </c>
      <c r="AF78" t="s">
        <v>127</v>
      </c>
      <c r="AG78" s="16">
        <v>35.349999999999994</v>
      </c>
    </row>
    <row r="79" spans="1:34" x14ac:dyDescent="0.25">
      <c r="A79" s="17" t="s">
        <v>75</v>
      </c>
      <c r="B79" s="17" t="s">
        <v>76</v>
      </c>
      <c r="C79" s="17" t="s">
        <v>124</v>
      </c>
      <c r="D79" s="18" t="s">
        <v>125</v>
      </c>
      <c r="E79" s="4">
        <v>42417</v>
      </c>
      <c r="F79" s="3">
        <v>3</v>
      </c>
      <c r="G79" s="5">
        <v>603.79999999999995</v>
      </c>
      <c r="H79" s="5">
        <v>8</v>
      </c>
      <c r="I79" s="5">
        <v>16.2</v>
      </c>
      <c r="J79" s="5">
        <f t="shared" si="20"/>
        <v>0.49</v>
      </c>
      <c r="K79" s="5">
        <v>1</v>
      </c>
      <c r="L79" s="2" cm="1">
        <f t="array" ref="L79">_xlfn.IFS(K79=1,0.5,K79=2,5.5,K79=3,18,K79=4,38,K79=5,63,K79=6,88)</f>
        <v>0.5</v>
      </c>
      <c r="M79" s="5">
        <f t="shared" si="21"/>
        <v>1.1499999999999999</v>
      </c>
      <c r="N79" s="5">
        <v>0.2</v>
      </c>
      <c r="O79" s="5">
        <v>7</v>
      </c>
      <c r="P79" s="5">
        <v>15.4</v>
      </c>
      <c r="Q79" s="5">
        <v>0</v>
      </c>
      <c r="R79" s="5">
        <v>0</v>
      </c>
      <c r="S79" s="5">
        <v>0.2</v>
      </c>
      <c r="T79" s="5">
        <f t="shared" si="22"/>
        <v>22.8</v>
      </c>
      <c r="U79" s="5">
        <f t="shared" si="23"/>
        <v>0.9</v>
      </c>
      <c r="V79" s="5">
        <f t="shared" si="24"/>
        <v>30.7</v>
      </c>
      <c r="W79" s="5">
        <f t="shared" si="26"/>
        <v>67.5</v>
      </c>
      <c r="X79" s="5">
        <f t="shared" si="27"/>
        <v>0</v>
      </c>
      <c r="Y79" s="5">
        <f t="shared" si="28"/>
        <v>0</v>
      </c>
      <c r="Z79" s="5">
        <f t="shared" si="29"/>
        <v>0.2</v>
      </c>
      <c r="AA79" s="5">
        <v>97.8</v>
      </c>
      <c r="AB79" s="5">
        <v>43</v>
      </c>
      <c r="AC79" s="5">
        <f t="shared" si="25"/>
        <v>56</v>
      </c>
      <c r="AD79" s="5">
        <v>66</v>
      </c>
      <c r="AE79" s="5">
        <v>30</v>
      </c>
      <c r="AF79" s="3" t="s">
        <v>128</v>
      </c>
      <c r="AG79" s="16">
        <v>61.349999999999994</v>
      </c>
      <c r="AH79" t="s">
        <v>93</v>
      </c>
    </row>
  </sheetData>
  <sortState xmlns:xlrd2="http://schemas.microsoft.com/office/spreadsheetml/2017/richdata2" ref="A2:AJ79">
    <sortCondition ref="A2:A79"/>
    <sortCondition ref="B2:B79"/>
  </sortState>
  <conditionalFormatting sqref="G2:G79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2:H79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2:J79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:J7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:M79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79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:U7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2:V79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:Z79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X2:X7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2:Y7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Z2:Z7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C2:AC7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8" scale="4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1CB5-4414-4E73-B440-CE00810008A5}">
  <dimension ref="A1:D7"/>
  <sheetViews>
    <sheetView workbookViewId="0">
      <selection activeCell="I21" sqref="I21"/>
    </sheetView>
  </sheetViews>
  <sheetFormatPr defaultRowHeight="15" x14ac:dyDescent="0.25"/>
  <cols>
    <col min="2" max="3" width="6.42578125" bestFit="1" customWidth="1"/>
  </cols>
  <sheetData>
    <row r="1" spans="1:4" x14ac:dyDescent="0.25">
      <c r="A1" t="s">
        <v>172</v>
      </c>
      <c r="B1" t="s">
        <v>173</v>
      </c>
      <c r="C1" t="s">
        <v>174</v>
      </c>
      <c r="D1" t="s">
        <v>175</v>
      </c>
    </row>
    <row r="2" spans="1:4" x14ac:dyDescent="0.25">
      <c r="A2">
        <v>1</v>
      </c>
      <c r="B2" s="19">
        <v>0</v>
      </c>
      <c r="C2" s="19">
        <v>1</v>
      </c>
      <c r="D2">
        <f>(B2+C2)/2</f>
        <v>0.5</v>
      </c>
    </row>
    <row r="3" spans="1:4" x14ac:dyDescent="0.25">
      <c r="A3">
        <v>2</v>
      </c>
      <c r="B3" s="19">
        <v>1</v>
      </c>
      <c r="C3" s="19">
        <v>10</v>
      </c>
      <c r="D3">
        <f t="shared" ref="D3:D7" si="0">(B3+C3)/2</f>
        <v>5.5</v>
      </c>
    </row>
    <row r="4" spans="1:4" x14ac:dyDescent="0.25">
      <c r="A4">
        <v>3</v>
      </c>
      <c r="B4" s="19">
        <v>11</v>
      </c>
      <c r="C4" s="19">
        <v>25</v>
      </c>
      <c r="D4">
        <f t="shared" si="0"/>
        <v>18</v>
      </c>
    </row>
    <row r="5" spans="1:4" x14ac:dyDescent="0.25">
      <c r="A5">
        <v>4</v>
      </c>
      <c r="B5" s="19">
        <v>26</v>
      </c>
      <c r="C5" s="19">
        <v>50</v>
      </c>
      <c r="D5">
        <f t="shared" si="0"/>
        <v>38</v>
      </c>
    </row>
    <row r="6" spans="1:4" x14ac:dyDescent="0.25">
      <c r="A6">
        <v>5</v>
      </c>
      <c r="B6" s="19">
        <v>51</v>
      </c>
      <c r="C6" s="19">
        <v>75</v>
      </c>
      <c r="D6">
        <f t="shared" si="0"/>
        <v>63</v>
      </c>
    </row>
    <row r="7" spans="1:4" x14ac:dyDescent="0.25">
      <c r="A7">
        <v>6</v>
      </c>
      <c r="B7" s="19">
        <v>76</v>
      </c>
      <c r="C7" s="19">
        <v>100</v>
      </c>
      <c r="D7">
        <f t="shared" si="0"/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CapeStFrancis_Hons_Flammability</vt:lpstr>
      <vt:lpstr>BB_%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apotts</dc:creator>
  <cp:lastModifiedBy>Msweli, Samukelisiwe (Ms) (George Campus)</cp:lastModifiedBy>
  <cp:lastPrinted>2016-04-12T08:03:08Z</cp:lastPrinted>
  <dcterms:created xsi:type="dcterms:W3CDTF">2016-03-13T20:28:54Z</dcterms:created>
  <dcterms:modified xsi:type="dcterms:W3CDTF">2025-11-11T09:31:54Z</dcterms:modified>
</cp:coreProperties>
</file>